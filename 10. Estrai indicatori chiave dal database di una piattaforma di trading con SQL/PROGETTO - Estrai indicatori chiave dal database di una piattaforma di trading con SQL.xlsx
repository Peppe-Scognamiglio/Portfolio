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giuseppescognamiglio/Downloads/PROGETTO - Estrai indicatori chiave dal database di una piattaforma di trading con SQL/"/>
    </mc:Choice>
  </mc:AlternateContent>
  <xr:revisionPtr revIDLastSave="0" documentId="8_{2733706B-6B59-BA47-8777-C48348CAF2BA}" xr6:coauthVersionLast="47" xr6:coauthVersionMax="47" xr10:uidLastSave="{00000000-0000-0000-0000-000000000000}"/>
  <bookViews>
    <workbookView xWindow="0" yWindow="0" windowWidth="28800" windowHeight="18000" activeTab="1" xr2:uid="{8F44B22C-F5BC-7F49-8C65-DD611089D8C3}"/>
  </bookViews>
  <sheets>
    <sheet name="Dataset" sheetId="4" r:id="rId1"/>
    <sheet name="Foglio5" sheetId="6" r:id="rId2"/>
    <sheet name="Specifiche del progetto" sheetId="1" r:id="rId3"/>
    <sheet name="Approfondimenti" sheetId="2" r:id="rId4"/>
    <sheet name="Consigli" sheetId="3"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6" l="1"/>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2" i="6"/>
  <c r="M1" i="6"/>
  <c r="G1" i="6"/>
  <c r="L1" i="6"/>
  <c r="H1" i="6"/>
  <c r="I1" i="6"/>
  <c r="J1" i="6"/>
  <c r="K1"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2" i="6"/>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2" i="4"/>
  <c r="O2" i="6" l="1" a="1"/>
  <c r="O2" i="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<sst xmlns="http://schemas.openxmlformats.org/spreadsheetml/2006/main" count="5060" uniqueCount="3061">
  <si>
    <t>Estrai Indicatori Chiave dal Database di una Piattaforma di Trading con SQL</t>
  </si>
  <si>
    <t>Contesto del Progetto</t>
  </si>
  <si>
    <t>Nel mondo finanzario, l'analisi dei dati è essenziale per ottenere un vantaggio competitivo e formulare strategie decisionali informate. L'uso di database per raccogliere e analizzare grandi volumi di transazioni e dati sui clienti è cruciale per qualsiasi piattaforma di trading. In questo progetto, ti concentrerai sull'estrazione di indicatori chiave da un database che gestisce informazioni di una fittizia azienda di trading, "TradeSmart Analytics". Utilizzerai SQL per ricavare dati significativi, ottimizzando così le strategie operative attraverso la comprensione delle dinamiche di trading.</t>
  </si>
  <si>
    <t>Obiettivo del Progetto</t>
  </si>
  <si>
    <t>L'obiettivo è acquisire la capacità di interrogare i dati finanziari in maniera efficiente, estrarre indicatori chiave e supportare decisioni operative strategiche. Dovrai utilizzare le query SQL per calcolare il volume medio scambiato, il numero di operazioni per cliente, identificare gli asset più scambiati e i periodi di maggiore attività. Queste analisi sono fondamentali per migliorare la comprensione dei comportamenti di trading e ottimizzare le offerte di servizio.</t>
  </si>
  <si>
    <t>Requisiti del Progetto</t>
  </si>
  <si>
    <t>In qualità di analista dei dati per TradeSmart Analytics, il tuo compito sarà quello di fornire insights utili al team operativo e di marketing. Alcuni dei requisiti aziendali includono:</t>
  </si>
  <si>
    <r>
      <t>Calcolare il volume medio scambiato</t>
    </r>
    <r>
      <rPr>
        <sz val="14"/>
        <color rgb="FF000000"/>
        <rFont val="Helvetica Neue"/>
        <family val="2"/>
      </rPr>
      <t>: Aiuta l'azienda a comprendere meglio l'intensità delle attività di trading e ad anticipare le necessità infrastrutturali.</t>
    </r>
  </si>
  <si>
    <r>
      <t>Numero di operazioni per cliente</t>
    </r>
    <r>
      <rPr>
        <sz val="14"/>
        <color rgb="FF000000"/>
        <rFont val="Helvetica Neue"/>
        <family val="2"/>
      </rPr>
      <t>: Identifica i clienti più attivi, che possono essere potenziali target per campagne di marketing specifiche.</t>
    </r>
  </si>
  <si>
    <r>
      <t>Asset più scambiati</t>
    </r>
    <r>
      <rPr>
        <sz val="14"/>
        <color rgb="FF000000"/>
        <rFont val="Helvetica Neue"/>
        <family val="2"/>
      </rPr>
      <t>: Determina gli asset più popolari per ottimizzare le strategie di promozione o sviluppare nuovi prodotti finanziari.</t>
    </r>
  </si>
  <si>
    <r>
      <t>Periodi di maggiore attività</t>
    </r>
    <r>
      <rPr>
        <sz val="14"/>
        <color rgb="FF000000"/>
        <rFont val="Helvetica Neue"/>
        <family val="2"/>
      </rPr>
      <t>: Comprendi i cicli di attività per migliorare la gestione delle risorse e la pianificazione infrastrutturale.</t>
    </r>
  </si>
  <si>
    <t>Benefici per l'Azienda</t>
  </si>
  <si>
    <r>
      <t>Ottimizzazione delle Strategie di Marketing</t>
    </r>
    <r>
      <rPr>
        <sz val="14"/>
        <color rgb="FF000000"/>
        <rFont val="Helvetica Neue"/>
        <family val="2"/>
      </rPr>
      <t>: Conoscere i clienti più attivi e i loro comportamenti di acquisto permette di personalizzare le campagne di marketing e migliorare il customer engagement.</t>
    </r>
  </si>
  <si>
    <r>
      <t>Efficienza Operativa</t>
    </r>
    <r>
      <rPr>
        <sz val="14"/>
        <color rgb="FF000000"/>
        <rFont val="Helvetica Neue"/>
        <family val="2"/>
      </rPr>
      <t>: Identificare i periodi di maggiore attività consente una migliore allocazione delle risorse, riducendo costi operativi e migliorando la gestione dei picchi di domanda.</t>
    </r>
  </si>
  <si>
    <r>
      <t>Innovazione dei Prodotti</t>
    </r>
    <r>
      <rPr>
        <sz val="14"/>
        <color rgb="FF000000"/>
        <rFont val="Helvetica Neue"/>
        <family val="2"/>
      </rPr>
      <t>: Analizzare gli asset più scambiati aiuta a sviluppare nuovi strumenti finanziari o servizi che rispondono meglio alle esigenze del mercato.</t>
    </r>
  </si>
  <si>
    <r>
      <t>Decision-making Informato</t>
    </r>
    <r>
      <rPr>
        <sz val="14"/>
        <color rgb="FF000000"/>
        <rFont val="Helvetica Neue"/>
        <family val="2"/>
      </rPr>
      <t>: Esporre il management a insights derivati dai dati guida le decisioni strategiche, migliorando la competitività dell'azienda.</t>
    </r>
  </si>
  <si>
    <t>Descrizione del Database</t>
  </si>
  <si>
    <t>Il database della piattaforma è scaricabile da questo link e include le seguenti colonne: - id_cliente: identificatore unico per ciascun cliente - volume: quantità di asset scambiati - ticker: simbolo dell'asset scambiato - prezzo: prezzo al quale è stata effettuata l'operazione - operazione: tipo di operazione (es. compra/vendi) - timestamp: data e ora dell'operazione</t>
  </si>
  <si>
    <t>Valore Aggiunto</t>
  </si>
  <si>
    <t>Il completamento di questo progetto non solo potenzia la tua capacità di lavorare con database complessi, ma ti conferisce competenze pratiche nel campo dell'analisi dei dati finanziari. Applicherai queste abilità per costruire strategie operative solide che guidano il successo aziendale nel dinamico settore del trading finanziario.</t>
  </si>
  <si>
    <t>Il progetto ti porterà a padroneggiare tecniche essenziali di analisi dei dati nel contesto della finanza, un settore in cui la velocità e la precisione delle decisioni basate sui dati possono fare la differenza tra profitto e perdita. Con ciò, potrai contribuire significativamente all'innovazione e all'efficienza delle aziende del settore.</t>
  </si>
  <si>
    <t>Preparati a immergerti in una delle aree più dinamiche e promettenti dell'analisi dei dati, dove il tuo lavoro porterà reale valore aggiunto in termini di performance aziendale e competitività di mercato. Buon lavoro!</t>
  </si>
  <si>
    <t>Prima di iniziare a leggere la traccia del progetto, voglio darti una panoramica su come la data analytics si inserisce nel contesto della finanza e, in particolare, in una piattaforma di trading come "TradeSmart Analytics". </t>
  </si>
  <si>
    <t>el campo della finanza, la capacità di analizzare grandi quantità di dati è fondamentale per prendere decisioni strategiche rapide e accurate. Nel progetto che affronterai, utilizzerai SQL per estrarre e interpretare dati transazionali che riguardano operazioni di trading, clienti, asset e volumi scambiati. Questo ti metterà nelle condizioni di trasformare dati grezzi in informazioni concrete utili per:</t>
  </si>
  <si>
    <r>
      <t>Capire il comportamento dei clienti</t>
    </r>
    <r>
      <rPr>
        <sz val="14"/>
        <color rgb="FF000000"/>
        <rFont val="Helvetica Neue"/>
        <family val="2"/>
      </rPr>
      <t>: Sapere chi sono i clienti più attivi e quanto operano ti permette di identificare segmenti di mercato importanti e personalizzare le strategie di marketing.</t>
    </r>
    <r>
      <rPr>
        <b/>
        <sz val="14"/>
        <color rgb="FF000000"/>
        <rFont val="Helvetica Neue"/>
        <family val="2"/>
      </rPr>
      <t>Monitorare i mercati e gli asset più rilevanti</t>
    </r>
    <r>
      <rPr>
        <sz val="14"/>
        <color rgb="FF000000"/>
        <rFont val="Helvetica Neue"/>
        <family val="2"/>
      </rPr>
      <t>: Analizzare quali asset sono più scambiati ti aiuterà a consigliare quali prodotti finanziari sviluppare o promuovere, cogliendo le opportunità di mercato. </t>
    </r>
    <r>
      <rPr>
        <b/>
        <sz val="14"/>
        <color rgb="FF000000"/>
        <rFont val="Helvetica Neue"/>
        <family val="2"/>
      </rPr>
      <t>Ottimizzare le risorse operative</t>
    </r>
    <r>
      <rPr>
        <sz val="14"/>
        <color rgb="FF000000"/>
        <rFont val="Helvetica Neue"/>
        <family val="2"/>
      </rPr>
      <t>: Individuare i periodi con maggiore attività permette una migliore gestione del personale e delle infrastrutture tecniche, riducendo costi e inefficienze.</t>
    </r>
    <r>
      <rPr>
        <b/>
        <sz val="14"/>
        <color rgb="FF000000"/>
        <rFont val="Helvetica Neue"/>
        <family val="2"/>
      </rPr>
      <t>Supportare decisioni aziendali informate</t>
    </r>
    <r>
      <rPr>
        <sz val="14"/>
        <color rgb="FF000000"/>
        <rFont val="Helvetica Neue"/>
        <family val="2"/>
      </rPr>
      <t>: La data analytics fornisce report e indicatori chiave che permettono al management di valutare lo stato dell’azienda e pianificare strategie future basate su dati reali.</t>
    </r>
  </si>
  <si>
    <t>i troverai quindi a fare da "analista finanziario", ma con un approccio molto pratico e tecnico, che si basa su interrogazioni precise e misurabili del database, e sull’interpretazione intelligente delle risposte ottenute. Questa esperienza ti farà acquisire una competenza molto richiesta nel settore finance, dove sapere estrarre e usare dati con efficacia è una skill chiave.</t>
  </si>
  <si>
    <t>Suggerimenti per la Risoluzione del Progetto</t>
  </si>
  <si>
    <t>Di seguito sono riportati alcuni consigli e passaggi chiave per affrontare al meglio l'estrazione degli indicatori chiave dal database di trading utilizzando SQL.</t>
  </si>
  <si>
    <t>1. Conosci il dataset e le sue colonne</t>
  </si>
  <si>
    <r>
      <t>Esplora il contenuto del file CSV (</t>
    </r>
    <r>
      <rPr>
        <sz val="12"/>
        <color rgb="FF000000"/>
        <rFont val="Menlo"/>
        <family val="2"/>
      </rPr>
      <t>1000_Stock_Transactions.csv</t>
    </r>
    <r>
      <rPr>
        <sz val="14"/>
        <color rgb="FF000000"/>
        <rFont val="Helvetica Neue"/>
        <family val="2"/>
      </rPr>
      <t>) per capire la struttura dati.</t>
    </r>
  </si>
  <si>
    <t>Le colonne importanti sono:</t>
  </si>
  <si>
    <r>
      <t>id_cliente</t>
    </r>
    <r>
      <rPr>
        <sz val="14"/>
        <color rgb="FF000000"/>
        <rFont val="Helvetica Neue"/>
        <family val="2"/>
      </rPr>
      <t>: per aggregare dati per singolo cliente</t>
    </r>
  </si>
  <si>
    <r>
      <t>volume</t>
    </r>
    <r>
      <rPr>
        <sz val="14"/>
        <color rgb="FF000000"/>
        <rFont val="Helvetica Neue"/>
        <family val="2"/>
      </rPr>
      <t>: per il calcolo delle quantità scambiate</t>
    </r>
  </si>
  <si>
    <r>
      <t>ticker</t>
    </r>
    <r>
      <rPr>
        <sz val="14"/>
        <color rgb="FF000000"/>
        <rFont val="Helvetica Neue"/>
        <family val="2"/>
      </rPr>
      <t>: per identificare asset specifici</t>
    </r>
  </si>
  <si>
    <r>
      <t>prezzo</t>
    </r>
    <r>
      <rPr>
        <sz val="14"/>
        <color rgb="FF000000"/>
        <rFont val="Helvetica Neue"/>
        <family val="2"/>
      </rPr>
      <t>: utile se vuoi considerare valori monetari nelle analisi</t>
    </r>
  </si>
  <si>
    <r>
      <t>operazione</t>
    </r>
    <r>
      <rPr>
        <sz val="14"/>
        <color rgb="FF000000"/>
        <rFont val="Helvetica Neue"/>
        <family val="2"/>
      </rPr>
      <t>: per distinguere tra acquisti e vendite</t>
    </r>
  </si>
  <si>
    <r>
      <t>timestamp</t>
    </r>
    <r>
      <rPr>
        <sz val="14"/>
        <color rgb="FF000000"/>
        <rFont val="Helvetica Neue"/>
        <family val="2"/>
      </rPr>
      <t>: per definire periodi temporali (giorni, settimane, ore)</t>
    </r>
  </si>
  <si>
    <t>2. Importa i dati in un RDBMS</t>
  </si>
  <si>
    <t>Scegli un sistema di gestione database relazionale (ad es. MySQL, PostgreSQL, SQLite).</t>
  </si>
  <si>
    <t>Importa il file CSV nella tabella SQL per facilitarne l’interrogazione.</t>
  </si>
  <si>
    <t>Assicurati che i tipi dati siano corretti: date per timestamp, numerici per quantità e prezzo, stringhe per ticker e operazione.</t>
  </si>
  <si>
    <t>3. Definisci le metriche da estrarre</t>
  </si>
  <si>
    <t>Volume medio scambiato</t>
  </si>
  <si>
    <t>Calcola il volume totale scambiato suddiviso per il numero di operazioni o per un periodo di tempo (es. giornaliero, mensile).</t>
  </si>
  <si>
    <t>Numero di operazioni per cliente</t>
  </si>
  <si>
    <r>
      <t>Conta le transazioni per ogni </t>
    </r>
    <r>
      <rPr>
        <sz val="12"/>
        <color rgb="FF000000"/>
        <rFont val="Menlo"/>
        <family val="2"/>
      </rPr>
      <t>id_cliente</t>
    </r>
    <r>
      <rPr>
        <sz val="14"/>
        <color rgb="FF000000"/>
        <rFont val="Helvetica Neue"/>
        <family val="2"/>
      </rPr>
      <t> per capire quali clienti sono più attivi. </t>
    </r>
  </si>
  <si>
    <t>Asset più scambiati</t>
  </si>
  <si>
    <r>
      <t>Aggrega il volume per ogni </t>
    </r>
    <r>
      <rPr>
        <sz val="12"/>
        <color rgb="FF000000"/>
        <rFont val="Menlo"/>
        <family val="2"/>
      </rPr>
      <t>ticker</t>
    </r>
    <r>
      <rPr>
        <sz val="14"/>
        <color rgb="FF000000"/>
        <rFont val="Helvetica Neue"/>
        <family val="2"/>
      </rPr>
      <t> per identificare i più popolari. </t>
    </r>
  </si>
  <si>
    <t>Periodi di maggiore attività</t>
  </si>
  <si>
    <r>
      <t>Usa il </t>
    </r>
    <r>
      <rPr>
        <sz val="12"/>
        <color rgb="FF000000"/>
        <rFont val="Menlo"/>
        <family val="2"/>
      </rPr>
      <t>timestamp</t>
    </r>
    <r>
      <rPr>
        <sz val="14"/>
        <color rgb="FF000000"/>
        <rFont val="Helvetica Neue"/>
        <family val="2"/>
      </rPr>
      <t> per estrarre la data o ora e raggruppa per periodi temporali. </t>
    </r>
  </si>
  <si>
    <t>Puoi ad esempio analizzare le transazioni per ora del giorno o giorno della settimana. </t>
  </si>
  <si>
    <t>4. Documenta ogni passo</t>
  </si>
  <si>
    <t>Annotati quali query hai utilizzato, cosa hai scoperto e come quei dati possono supportare le decisioni aziendali.</t>
  </si>
  <si>
    <t>id_cliente,volume,ticker,prezzo,operazione,timestamp</t>
  </si>
  <si>
    <t>5705,269,TSLA,362.2,SELL,2024-05-13 09:32:00</t>
  </si>
  <si>
    <t>6298,295,META,510.4,SELL,2024-05-09 16:43:00</t>
  </si>
  <si>
    <t>5258,812,TSLA,565.97,SELL,2024-03-02 02:07:00</t>
  </si>
  <si>
    <t>4669,530,AMZN,136.06,BUY,2024-03-21 00:09:00</t>
  </si>
  <si>
    <t>4669,232,MSFT,824.07,SELL,2024-03-15 17:16:00</t>
  </si>
  <si>
    <t>7938,521,META,332.56,SELL,2024-05-11 23:29:00</t>
  </si>
  <si>
    <t>9952,510,MSFT,399.97,SELL,2024-01-23 21:18:00</t>
  </si>
  <si>
    <t>7531,95,MSFT,452.08,BUY,2024-01-19 17:33:00</t>
  </si>
  <si>
    <t>7938,376,META,329.33,BUY,2024-02-21 02:41:00</t>
  </si>
  <si>
    <t>5751,569,TSLA,283.62,BUY,2024-04-19 20:21:00</t>
  </si>
  <si>
    <t>5751,793,MSFT,140.36,BUY,2024-03-17 06:16:00</t>
  </si>
  <si>
    <t>9952,870,AMZN,399.04,SELL,2024-05-24 18:16:00</t>
  </si>
  <si>
    <t>9094,885,META,750.24,BUY,2024-04-03 17:41:00</t>
  </si>
  <si>
    <t>7938,461,TSLA,969.26,BUY,2024-02-03 08:04:00</t>
  </si>
  <si>
    <t>9952,580,META,408.09,SELL,2024-04-19 13:51:00</t>
  </si>
  <si>
    <t>5297,695,META,922.39,SELL,2024-02-07 07:39:00</t>
  </si>
  <si>
    <t>5705,731,AMZN,806.26,BUY,2024-05-09 08:59:00</t>
  </si>
  <si>
    <t>5705,45,AMZN,119.97,BUY,2024-05-10 07:01:00</t>
  </si>
  <si>
    <t>5705,801,MSFT,413.82,SELL,2024-02-09 01:37:00</t>
  </si>
  <si>
    <t>6298,870,TSLA,948.6,BUY,2024-05-06 18:19:00</t>
  </si>
  <si>
    <t>4710,121,MSFT,515.17,SELL,2024-04-29 11:59:00</t>
  </si>
  <si>
    <t>9094,978,MSFT,181.3,BUY,2024-05-11 15:53:00</t>
  </si>
  <si>
    <t>5297,828,AMZN,445.17,SELL,2024-01-18 19:19:00</t>
  </si>
  <si>
    <t>4669,278,TSLA,664.63,SELL,2024-01-06 15:02:00</t>
  </si>
  <si>
    <t>5297,728,TSLA,386.12,SELL,2024-01-26 10:40:00</t>
  </si>
  <si>
    <t>5705,75,MSFT,700.33,BUY,2024-02-27 22:09:00</t>
  </si>
  <si>
    <t>6298,260,TSLA,383.0,BUY,2024-01-28 20:07:00</t>
  </si>
  <si>
    <t>7922,538,META,578.31,SELL,2024-03-18 05:33:00</t>
  </si>
  <si>
    <t>7922,297,TSLA,290.65,BUY,2024-04-02 16:06:00</t>
  </si>
  <si>
    <t>7531,950,AMZN,975.13,BUY,2024-03-10 07:59:00</t>
  </si>
  <si>
    <t>5258,169,TSLA,166.88,BUY,2024-01-19 09:15:00</t>
  </si>
  <si>
    <t>5297,699,AMZN,450.45,SELL,2024-02-06 17:23:00</t>
  </si>
  <si>
    <t>9952,43,TSLA,203.55,BUY,2024-04-26 04:30:00</t>
  </si>
  <si>
    <t>7922,168,AMZN,809.66,SELL,2024-01-26 16:03:00</t>
  </si>
  <si>
    <t>2941,278,AMZN,514.75,SELL,2024-05-13 19:05:00</t>
  </si>
  <si>
    <t>7922,821,TSLA,104.05,BUY,2024-05-06 10:46:00</t>
  </si>
  <si>
    <t>9952,504,AMZN,808.15,BUY,2024-03-23 19:01:00</t>
  </si>
  <si>
    <t>5751,483,META,962.77,SELL,2024-01-12 16:26:00</t>
  </si>
  <si>
    <t>4168,689,MSFT,782.52,BUY,2024-02-28 20:54:00</t>
  </si>
  <si>
    <t>5705,770,AMZN,520.88,BUY,2024-03-29 08:04:00</t>
  </si>
  <si>
    <t>5751,415,TSLA,395.0,BUY,2024-01-04 07:41:00</t>
  </si>
  <si>
    <t>7938,945,TSLA,851.97,SELL,2024-02-22 21:24:00</t>
  </si>
  <si>
    <t>5751,449,AMZN,775.08,SELL,2024-01-27 20:47:00</t>
  </si>
  <si>
    <t>7922,66,TSLA,750.49,BUY,2024-04-13 12:49:00</t>
  </si>
  <si>
    <t>5751,117,MSFT,681.87,BUY,2024-02-29 11:49:00</t>
  </si>
  <si>
    <t>5751,275,AMZN,376.4,SELL,2024-01-08 02:06:00</t>
  </si>
  <si>
    <t>5705,993,MSFT,365.78,BUY,2024-03-21 00:55:00</t>
  </si>
  <si>
    <t>7531,909,AMZN,118.13,SELL,2024-05-22 08:43:00</t>
  </si>
  <si>
    <t>9952,337,META,572.53,BUY,2024-01-08 06:49:00</t>
  </si>
  <si>
    <t>7531,23,MSFT,642.09,BUY,2024-03-03 07:49:00</t>
  </si>
  <si>
    <t>7531,811,META,360.31,SELL,2024-02-17 02:41:00</t>
  </si>
  <si>
    <t>4669,483,META,200.37,SELL,2024-02-21 03:09:00</t>
  </si>
  <si>
    <t>4168,881,MSFT,811.67,BUY,2024-04-17 05:52:00</t>
  </si>
  <si>
    <t>1691,850,AMZN,276.17,BUY,2024-01-14 09:54:00</t>
  </si>
  <si>
    <t>7938,769,TSLA,411.82,BUY,2024-05-13 07:00:00</t>
  </si>
  <si>
    <t>7938,700,TSLA,632.45,SELL,2024-02-25 03:41:00</t>
  </si>
  <si>
    <t>5258,134,TSLA,977.89,BUY,2024-05-30 18:23:00</t>
  </si>
  <si>
    <t>4168,245,META,393.14,BUY,2024-05-08 07:29:00</t>
  </si>
  <si>
    <t>4168,223,MSFT,353.19,BUY,2024-01-27 15:04:00</t>
  </si>
  <si>
    <t>5258,700,MSFT,471.25,BUY,2024-03-30 18:46:00</t>
  </si>
  <si>
    <t>2941,267,MSFT,639.44,SELL,2024-04-13 00:10:00</t>
  </si>
  <si>
    <t>4168,725,TSLA,785.92,BUY,2024-05-13 08:03:00</t>
  </si>
  <si>
    <t>7922,522,META,666.09,BUY,2024-03-02 02:49:00</t>
  </si>
  <si>
    <t>4710,813,MSFT,380.02,SELL,2024-01-04 15:18:00</t>
  </si>
  <si>
    <t>7531,459,AMZN,386.75,BUY,2024-02-19 11:09:00</t>
  </si>
  <si>
    <t>7938,847,MSFT,952.52,BUY,2024-02-18 19:25:00</t>
  </si>
  <si>
    <t>7922,839,AMZN,808.49,SELL,2024-03-22 04:04:00</t>
  </si>
  <si>
    <t>5258,321,TSLA,207.61,BUY,2024-02-20 21:38:00</t>
  </si>
  <si>
    <t>7531,927,TSLA,191.14,BUY,2024-01-16 07:33:00</t>
  </si>
  <si>
    <t>6298,409,AMZN,981.87,BUY,2024-02-25 11:38:00</t>
  </si>
  <si>
    <t>5297,213,META,975.01,SELL,2024-03-27 10:36:00</t>
  </si>
  <si>
    <t>7938,166,AMZN,362.01,BUY,2024-05-30 14:47:00</t>
  </si>
  <si>
    <t>5751,619,MSFT,503.32,BUY,2024-05-29 20:14:00</t>
  </si>
  <si>
    <t>9094,546,MSFT,134.91,SELL,2024-03-08 16:01:00</t>
  </si>
  <si>
    <t>4669,227,META,926.13,BUY,2024-04-30 07:54:00</t>
  </si>
  <si>
    <t>5258,8,TSLA,311.81,SELL,2024-03-08 20:25:00</t>
  </si>
  <si>
    <t>4168,812,META,554.43,SELL,2024-03-25 21:07:00</t>
  </si>
  <si>
    <t>5297,919,META,718.55,SELL,2024-02-08 05:04:00</t>
  </si>
  <si>
    <t>2941,672,META,341.72,SELL,2024-03-18 06:52:00</t>
  </si>
  <si>
    <t>4669,755,TSLA,150.05,SELL,2024-04-16 13:46:00</t>
  </si>
  <si>
    <t>7531,323,TSLA,453.81,SELL,2024-03-16 05:51:00</t>
  </si>
  <si>
    <t>5258,314,AMZN,619.22,BUY,2024-05-05 05:51:00</t>
  </si>
  <si>
    <t>4710,110,META,653.44,SELL,2024-05-11 15:03:00</t>
  </si>
  <si>
    <t>7922,275,AMZN,220.84,SELL,2024-04-20 09:39:00</t>
  </si>
  <si>
    <t>7531,262,META,716.1,SELL,2024-05-23 21:58:00</t>
  </si>
  <si>
    <t>7531,35,TSLA,808.01,SELL,2024-01-16 19:17:00</t>
  </si>
  <si>
    <t>1691,629,META,177.22,SELL,2024-03-04 09:17:00</t>
  </si>
  <si>
    <t>9952,768,AMZN,764.23,BUY,2024-02-27 16:31:00</t>
  </si>
  <si>
    <t>4168,558,TSLA,211.4,SELL,2024-01-31 06:04:00</t>
  </si>
  <si>
    <t>2941,48,AMZN,528.02,SELL,2024-02-07 19:18:00</t>
  </si>
  <si>
    <t>4669,276,AMZN,445.5,SELL,2024-05-30 14:22:00</t>
  </si>
  <si>
    <t>4710,165,MSFT,691.4,SELL,2024-03-02 01:58:00</t>
  </si>
  <si>
    <t>5297,607,TSLA,826.96,BUY,2024-05-05 19:12:00</t>
  </si>
  <si>
    <t>7922,679,AMZN,516.61,BUY,2024-01-11 18:22:00</t>
  </si>
  <si>
    <t>7922,344,AMZN,887.43,SELL,2024-05-01 03:51:00</t>
  </si>
  <si>
    <t>4710,871,AMZN,690.69,BUY,2024-02-11 18:25:00</t>
  </si>
  <si>
    <t>9952,586,TSLA,645.92,SELL,2024-03-22 10:14:00</t>
  </si>
  <si>
    <t>7922,170,MSFT,154.26,BUY,2024-04-17 03:00:00</t>
  </si>
  <si>
    <t>4710,935,META,425.45,SELL,2024-03-23 04:42:00</t>
  </si>
  <si>
    <t>2941,467,TSLA,515.87,SELL,2024-01-07 17:08:00</t>
  </si>
  <si>
    <t>5705,984,AMZN,962.39,BUY,2024-01-25 16:35:00</t>
  </si>
  <si>
    <t>9094,980,MSFT,804.71,SELL,2024-05-02 09:42:00</t>
  </si>
  <si>
    <t>4669,231,META,690.56,SELL,2024-01-09 17:15:00</t>
  </si>
  <si>
    <t>5751,447,MSFT,943.88,BUY,2024-02-09 08:31:00</t>
  </si>
  <si>
    <t>7938,176,AMZN,809.94,SELL,2024-01-21 21:47:00</t>
  </si>
  <si>
    <t>7531,854,AMZN,739.17,BUY,2024-04-19 04:41:00</t>
  </si>
  <si>
    <t>7938,911,META,883.49,BUY,2024-05-04 05:23:00</t>
  </si>
  <si>
    <t>5297,228,TSLA,875.57,BUY,2024-04-14 21:09:00</t>
  </si>
  <si>
    <t>7938,547,TSLA,733.09,BUY,2024-05-12 20:44:00</t>
  </si>
  <si>
    <t>1691,668,MSFT,654.85,SELL,2024-02-13 02:42:00</t>
  </si>
  <si>
    <t>4710,583,MSFT,136.7,BUY,2024-01-25 11:53:00</t>
  </si>
  <si>
    <t>5751,764,AMZN,498.11,SELL,2024-01-04 22:23:00</t>
  </si>
  <si>
    <t>4669,271,MSFT,631.48,SELL,2024-01-24 06:58:00</t>
  </si>
  <si>
    <t>4710,367,META,670.42,BUY,2024-04-11 19:01:00</t>
  </si>
  <si>
    <t>5705,919,TSLA,626.57,SELL,2024-05-10 12:50:00</t>
  </si>
  <si>
    <t>9094,643,TSLA,625.11,BUY,2024-05-04 01:58:00</t>
  </si>
  <si>
    <t>4168,266,MSFT,375.4,BUY,2024-03-21 18:38:00</t>
  </si>
  <si>
    <t>7531,877,META,189.75,SELL,2024-01-07 09:25:00</t>
  </si>
  <si>
    <t>4669,552,META,502.55,SELL,2024-02-13 06:20:00</t>
  </si>
  <si>
    <t>5297,703,META,218.38,SELL,2024-02-02 06:21:00</t>
  </si>
  <si>
    <t>7938,578,AMZN,938.28,SELL,2024-02-29 03:25:00</t>
  </si>
  <si>
    <t>4669,142,AMZN,263.05,SELL,2024-04-12 01:14:00</t>
  </si>
  <si>
    <t>9094,939,META,996.61,BUY,2024-01-12 23:03:00</t>
  </si>
  <si>
    <t>2941,530,TSLA,444.84,SELL,2024-03-23 21:04:00</t>
  </si>
  <si>
    <t>9952,288,META,465.57,SELL,2024-02-16 08:29:00</t>
  </si>
  <si>
    <t>9094,101,MSFT,452.94,BUY,2024-01-02 09:59:00</t>
  </si>
  <si>
    <t>4669,674,MSFT,313.47,SELL,2024-05-26 20:20:00</t>
  </si>
  <si>
    <t>4168,604,TSLA,577.52,SELL,2024-05-04 17:40:00</t>
  </si>
  <si>
    <t>2941,899,AMZN,548.51,BUY,2024-04-15 15:52:00</t>
  </si>
  <si>
    <t>7922,274,META,796.81,BUY,2024-04-26 04:36:00</t>
  </si>
  <si>
    <t>1691,701,TSLA,342.53,BUY,2024-04-07 06:36:00</t>
  </si>
  <si>
    <t>4669,950,META,696.91,SELL,2024-05-25 09:04:00</t>
  </si>
  <si>
    <t>5297,791,AMZN,676.84,SELL,2024-01-22 05:58:00</t>
  </si>
  <si>
    <t>7531,980,MSFT,993.11,SELL,2024-04-20 15:36:00</t>
  </si>
  <si>
    <t>2941,636,MSFT,298.98,BUY,2024-02-12 18:07:00</t>
  </si>
  <si>
    <t>5751,79,AMZN,834.42,BUY,2024-05-29 05:34:00</t>
  </si>
  <si>
    <t>6298,283,AMZN,124.17,BUY,2024-03-07 14:06:00</t>
  </si>
  <si>
    <t>7531,753,TSLA,430.28,BUY,2024-01-12 01:05:00</t>
  </si>
  <si>
    <t>4669,47,AMZN,614.26,BUY,2024-02-13 03:45:00</t>
  </si>
  <si>
    <t>2941,303,META,346.49,SELL,2024-04-08 16:45:00</t>
  </si>
  <si>
    <t>4710,556,TSLA,586.97,SELL,2024-02-16 13:21:00</t>
  </si>
  <si>
    <t>4669,959,TSLA,980.54,SELL,2024-02-09 02:05:00</t>
  </si>
  <si>
    <t>2941,673,MSFT,292.62,SELL,2024-04-22 23:57:00</t>
  </si>
  <si>
    <t>7922,616,AMZN,177.14,BUY,2024-04-24 22:14:00</t>
  </si>
  <si>
    <t>7938,186,META,802.31,SELL,2024-04-09 10:54:00</t>
  </si>
  <si>
    <t>2941,239,TSLA,980.46,SELL,2024-04-26 11:54:00</t>
  </si>
  <si>
    <t>6298,106,TSLA,724.47,SELL,2024-01-25 13:38:00</t>
  </si>
  <si>
    <t>7531,920,MSFT,219.51,BUY,2024-03-27 20:45:00</t>
  </si>
  <si>
    <t>5258,167,META,814.61,SELL,2024-02-22 22:51:00</t>
  </si>
  <si>
    <t>7531,589,AMZN,440.45,BUY,2024-03-10 10:56:00</t>
  </si>
  <si>
    <t>5297,349,AMZN,665.75,SELL,2024-03-11 16:14:00</t>
  </si>
  <si>
    <t>9952,941,TSLA,376.66,SELL,2024-01-01 13:23:00</t>
  </si>
  <si>
    <t>7531,326,AMZN,932.77,SELL,2024-04-18 16:28:00</t>
  </si>
  <si>
    <t>7531,14,AMZN,881.23,BUY,2024-05-06 23:14:00</t>
  </si>
  <si>
    <t>5258,140,MSFT,434.05,BUY,2024-02-03 13:42:00</t>
  </si>
  <si>
    <t>6298,371,MSFT,902.37,BUY,2024-03-17 22:19:00</t>
  </si>
  <si>
    <t>5751,499,TSLA,492.34,SELL,2024-02-03 18:22:00</t>
  </si>
  <si>
    <t>4710,894,MSFT,819.25,BUY,2024-03-16 22:18:00</t>
  </si>
  <si>
    <t>4710,382,MSFT,425.98,SELL,2024-05-15 12:29:00</t>
  </si>
  <si>
    <t>9952,220,AMZN,739.76,BUY,2024-01-09 05:28:00</t>
  </si>
  <si>
    <t>4669,253,MSFT,410.57,BUY,2024-04-07 03:17:00</t>
  </si>
  <si>
    <t>9094,623,TSLA,226.48,BUY,2024-05-10 05:20:00</t>
  </si>
  <si>
    <t>7922,644,AMZN,347.58,BUY,2024-02-23 00:48:00</t>
  </si>
  <si>
    <t>5297,504,TSLA,939.01,BUY,2024-01-30 03:37:00</t>
  </si>
  <si>
    <t>4168,851,META,276.96,SELL,2024-05-22 13:00:00</t>
  </si>
  <si>
    <t>6298,754,TSLA,982.6,BUY,2024-03-05 22:06:00</t>
  </si>
  <si>
    <t>7531,717,MSFT,945.07,SELL,2024-02-02 22:29:00</t>
  </si>
  <si>
    <t>9952,546,MSFT,694.91,BUY,2024-01-21 14:09:00</t>
  </si>
  <si>
    <t>9094,128,META,722.22,BUY,2024-05-16 09:07:00</t>
  </si>
  <si>
    <t>1691,784,TSLA,639.67,SELL,2024-03-15 17:21:00</t>
  </si>
  <si>
    <t>6298,857,MSFT,221.54,SELL,2024-02-28 00:23:00</t>
  </si>
  <si>
    <t>7938,225,TSLA,601.72,BUY,2024-04-05 18:58:00</t>
  </si>
  <si>
    <t>7531,88,TSLA,488.62,BUY,2024-05-03 00:06:00</t>
  </si>
  <si>
    <t>7922,447,META,469.81,SELL,2024-02-06 14:08:00</t>
  </si>
  <si>
    <t>5705,526,MSFT,516.06,SELL,2024-04-01 09:27:00</t>
  </si>
  <si>
    <t>2941,926,MSFT,839.64,SELL,2024-05-07 03:00:00</t>
  </si>
  <si>
    <t>4669,74,TSLA,517.17,SELL,2024-05-11 09:21:00</t>
  </si>
  <si>
    <t>4710,715,META,364.24,SELL,2024-02-04 23:47:00</t>
  </si>
  <si>
    <t>2941,144,TSLA,363.05,SELL,2024-04-01 08:04:00</t>
  </si>
  <si>
    <t>9094,214,TSLA,555.15,SELL,2024-02-06 05:53:00</t>
  </si>
  <si>
    <t>7938,817,META,143.19,SELL,2024-01-06 15:44:00</t>
  </si>
  <si>
    <t>4168,288,AMZN,650.05,SELL,2024-03-04 21:14:00</t>
  </si>
  <si>
    <t>9952,964,META,909.84,SELL,2024-03-27 13:38:00</t>
  </si>
  <si>
    <t>4710,876,AMZN,645.25,SELL,2024-05-04 01:41:00</t>
  </si>
  <si>
    <t>5297,294,AMZN,894.29,SELL,2024-03-02 04:39:00</t>
  </si>
  <si>
    <t>5751,194,MSFT,641.82,BUY,2024-02-14 05:40:00</t>
  </si>
  <si>
    <t>4168,188,META,979.2,BUY,2024-02-18 09:23:00</t>
  </si>
  <si>
    <t>7922,441,AMZN,853.1,SELL,2024-01-12 14:57:00</t>
  </si>
  <si>
    <t>5258,691,MSFT,169.78,SELL,2024-01-02 07:36:00</t>
  </si>
  <si>
    <t>5297,826,META,562.29,SELL,2024-02-09 16:23:00</t>
  </si>
  <si>
    <t>4710,104,MSFT,487.22,BUY,2024-04-07 11:28:00</t>
  </si>
  <si>
    <t>2941,518,MSFT,726.73,BUY,2024-04-22 10:32:00</t>
  </si>
  <si>
    <t>2941,501,AMZN,700.27,SELL,2024-03-29 03:41:00</t>
  </si>
  <si>
    <t>2941,187,TSLA,108.41,BUY,2024-01-26 02:22:00</t>
  </si>
  <si>
    <t>7531,688,MSFT,244.33,SELL,2024-03-31 23:24:00</t>
  </si>
  <si>
    <t>6298,552,MSFT,679.95,BUY,2024-01-09 06:16:00</t>
  </si>
  <si>
    <t>7922,456,MSFT,775.48,BUY,2024-04-28 22:05:00</t>
  </si>
  <si>
    <t>9094,65,TSLA,451.47,SELL,2024-02-18 02:13:00</t>
  </si>
  <si>
    <t>7922,36,TSLA,682.59,BUY,2024-02-07 19:02:00</t>
  </si>
  <si>
    <t>5751,486,META,594.59,SELL,2024-05-05 11:28:00</t>
  </si>
  <si>
    <t>4669,818,META,390.65,BUY,2024-01-18 07:30:00</t>
  </si>
  <si>
    <t>5705,466,AMZN,940.26,BUY,2024-01-29 19:34:00</t>
  </si>
  <si>
    <t>7922,399,MSFT,189.16,BUY,2024-02-17 04:02:00</t>
  </si>
  <si>
    <t>9952,252,AMZN,561.97,SELL,2024-01-31 07:59:00</t>
  </si>
  <si>
    <t>2941,587,META,452.93,SELL,2024-05-16 08:42:00</t>
  </si>
  <si>
    <t>5705,81,TSLA,489.04,BUY,2024-03-07 04:26:00</t>
  </si>
  <si>
    <t>1691,744,TSLA,765.5,BUY,2024-04-21 14:19:00</t>
  </si>
  <si>
    <t>4710,236,META,296.07,BUY,2024-04-08 11:04:00</t>
  </si>
  <si>
    <t>7922,279,META,419.69,BUY,2024-03-21 10:34:00</t>
  </si>
  <si>
    <t>6298,266,AMZN,709.65,SELL,2024-03-19 22:41:00</t>
  </si>
  <si>
    <t>4669,508,TSLA,277.93,BUY,2024-02-02 12:24:00</t>
  </si>
  <si>
    <t>4168,489,AMZN,562.8,BUY,2024-01-14 16:52:00</t>
  </si>
  <si>
    <t>5258,282,META,256.56,BUY,2024-05-07 11:48:00</t>
  </si>
  <si>
    <t>9094,818,AMZN,980.78,BUY,2024-01-22 20:37:00</t>
  </si>
  <si>
    <t>7922,375,MSFT,648.55,SELL,2024-01-02 12:42:00</t>
  </si>
  <si>
    <t>9952,740,META,969.03,BUY,2024-05-29 11:20:00</t>
  </si>
  <si>
    <t>4168,117,MSFT,788.46,BUY,2024-04-09 13:13:00</t>
  </si>
  <si>
    <t>9094,419,AMZN,334.56,SELL,2024-03-25 21:32:00</t>
  </si>
  <si>
    <t>4669,988,MSFT,245.42,SELL,2024-02-10 02:20:00</t>
  </si>
  <si>
    <t>2941,237,TSLA,813.23,SELL,2024-01-29 18:08:00</t>
  </si>
  <si>
    <t>7922,138,MSFT,527.37,BUY,2024-05-25 05:17:00</t>
  </si>
  <si>
    <t>5297,902,MSFT,124.98,BUY,2024-05-15 10:37:00</t>
  </si>
  <si>
    <t>9952,84,AMZN,440.16,BUY,2024-01-20 02:30:00</t>
  </si>
  <si>
    <t>4168,483,TSLA,656.42,SELL,2024-05-25 16:24:00</t>
  </si>
  <si>
    <t>7922,831,AMZN,307.19,BUY,2024-05-22 13:11:00</t>
  </si>
  <si>
    <t>6298,513,TSLA,779.23,BUY,2024-02-21 22:10:00</t>
  </si>
  <si>
    <t>4669,304,MSFT,716.47,SELL,2024-01-06 19:33:00</t>
  </si>
  <si>
    <t>4168,420,MSFT,158.32,SELL,2024-05-21 12:44:00</t>
  </si>
  <si>
    <t>5705,223,TSLA,929.23,SELL,2024-05-15 15:19:00</t>
  </si>
  <si>
    <t>5297,834,AMZN,345.63,BUY,2024-05-10 10:58:00</t>
  </si>
  <si>
    <t>9952,791,META,481.75,BUY,2024-05-28 21:15:00</t>
  </si>
  <si>
    <t>5258,763,AMZN,177.93,BUY,2024-04-06 04:17:00</t>
  </si>
  <si>
    <t>2941,14,MSFT,569.52,BUY,2024-05-08 06:36:00</t>
  </si>
  <si>
    <t>9094,281,MSFT,612.11,SELL,2024-03-04 20:21:00</t>
  </si>
  <si>
    <t>5705,18,AMZN,957.14,BUY,2024-03-29 15:32:00</t>
  </si>
  <si>
    <t>9094,55,META,508.46,BUY,2024-05-18 22:05:00</t>
  </si>
  <si>
    <t>7531,636,TSLA,297.35,BUY,2024-04-29 05:35:00</t>
  </si>
  <si>
    <t>5297,681,META,418.13,SELL,2024-02-23 18:44:00</t>
  </si>
  <si>
    <t>7922,621,TSLA,277.64,SELL,2024-02-14 10:05:00</t>
  </si>
  <si>
    <t>7531,886,TSLA,854.78,SELL,2024-03-08 03:52:00</t>
  </si>
  <si>
    <t>4168,612,AMZN,634.94,BUY,2024-03-22 20:58:00</t>
  </si>
  <si>
    <t>5297,539,MSFT,219.05,BUY,2024-03-07 18:55:00</t>
  </si>
  <si>
    <t>6298,272,META,647.04,SELL,2024-01-29 13:08:00</t>
  </si>
  <si>
    <t>7531,949,META,100.7,SELL,2024-05-18 08:50:00</t>
  </si>
  <si>
    <t>9952,865,AMZN,734.83,SELL,2024-01-20 00:07:00</t>
  </si>
  <si>
    <t>4710,720,TSLA,325.74,BUY,2024-01-28 17:53:00</t>
  </si>
  <si>
    <t>5751,534,AMZN,815.94,BUY,2024-02-28 08:52:00</t>
  </si>
  <si>
    <t>5751,390,AMZN,356.92,BUY,2024-05-26 01:12:00</t>
  </si>
  <si>
    <t>5258,315,AMZN,633.68,BUY,2024-05-15 11:58:00</t>
  </si>
  <si>
    <t>9952,59,TSLA,222.14,SELL,2024-02-19 16:22:00</t>
  </si>
  <si>
    <t>9094,475,TSLA,512.38,BUY,2024-02-18 15:45:00</t>
  </si>
  <si>
    <t>9094,741,AMZN,970.07,SELL,2024-03-05 21:44:00</t>
  </si>
  <si>
    <t>5258,948,TSLA,841.66,SELL,2024-05-24 13:37:00</t>
  </si>
  <si>
    <t>5705,256,TSLA,570.4,BUY,2024-03-13 19:38:00</t>
  </si>
  <si>
    <t>5297,567,TSLA,878.39,SELL,2024-02-12 15:38:00</t>
  </si>
  <si>
    <t>2941,34,META,375.13,BUY,2024-03-20 00:22:00</t>
  </si>
  <si>
    <t>9952,894,MSFT,792.64,BUY,2024-03-11 05:59:00</t>
  </si>
  <si>
    <t>9094,306,MSFT,896.56,SELL,2024-04-03 07:21:00</t>
  </si>
  <si>
    <t>6298,373,AMZN,243.3,BUY,2024-03-15 04:50:00</t>
  </si>
  <si>
    <t>7938,586,META,767.71,BUY,2024-04-25 09:01:00</t>
  </si>
  <si>
    <t>1691,444,MSFT,165.26,SELL,2024-01-24 00:07:00</t>
  </si>
  <si>
    <t>6298,656,TSLA,800.27,SELL,2024-05-21 15:20:00</t>
  </si>
  <si>
    <t>5751,260,AMZN,287.62,SELL,2024-01-24 17:16:00</t>
  </si>
  <si>
    <t>4168,412,META,770.26,SELL,2024-03-28 12:08:00</t>
  </si>
  <si>
    <t>5705,180,TSLA,816.77,BUY,2024-04-29 17:37:00</t>
  </si>
  <si>
    <t>5258,553,AMZN,907.31,SELL,2024-03-18 18:01:00</t>
  </si>
  <si>
    <t>4168,74,TSLA,383.31,SELL,2024-04-16 16:27:00</t>
  </si>
  <si>
    <t>1691,715,TSLA,291.2,BUY,2024-04-30 06:01:00</t>
  </si>
  <si>
    <t>7922,786,MSFT,719.68,BUY,2024-05-14 07:48:00</t>
  </si>
  <si>
    <t>5751,352,META,562.88,BUY,2024-04-10 06:36:00</t>
  </si>
  <si>
    <t>5751,820,META,341.59,SELL,2024-03-24 01:47:00</t>
  </si>
  <si>
    <t>4669,250,TSLA,616.88,BUY,2024-01-26 12:26:00</t>
  </si>
  <si>
    <t>5705,309,MSFT,460.79,BUY,2024-04-24 07:34:00</t>
  </si>
  <si>
    <t>5705,412,AMZN,221.62,SELL,2024-03-20 06:05:00</t>
  </si>
  <si>
    <t>4710,656,META,385.62,BUY,2024-02-07 23:31:00</t>
  </si>
  <si>
    <t>5705,565,META,549.29,BUY,2024-03-18 10:14:00</t>
  </si>
  <si>
    <t>6298,240,META,903.9,BUY,2024-01-29 19:40:00</t>
  </si>
  <si>
    <t>4710,866,AMZN,562.13,SELL,2024-03-07 11:05:00</t>
  </si>
  <si>
    <t>4168,424,TSLA,540.99,BUY,2024-03-06 11:39:00</t>
  </si>
  <si>
    <t>6298,107,AMZN,300.99,SELL,2024-04-05 00:37:00</t>
  </si>
  <si>
    <t>4168,24,MSFT,839.43,SELL,2024-05-10 10:17:00</t>
  </si>
  <si>
    <t>5705,996,AMZN,360.16,BUY,2024-01-31 09:34:00</t>
  </si>
  <si>
    <t>6298,778,AMZN,238.25,SELL,2024-03-05 21:28:00</t>
  </si>
  <si>
    <t>5297,643,MSFT,251.5,BUY,2024-05-12 06:02:00</t>
  </si>
  <si>
    <t>6298,418,META,517.2,SELL,2024-02-06 10:03:00</t>
  </si>
  <si>
    <t>7938,196,META,305.96,SELL,2024-03-15 19:33:00</t>
  </si>
  <si>
    <t>9094,389,META,882.28,BUY,2024-04-26 15:15:00</t>
  </si>
  <si>
    <t>9952,307,MSFT,758.82,SELL,2024-03-19 05:09:00</t>
  </si>
  <si>
    <t>1691,499,TSLA,381.78,SELL,2024-01-06 14:50:00</t>
  </si>
  <si>
    <t>5297,885,AMZN,220.04,SELL,2024-05-28 22:48:00</t>
  </si>
  <si>
    <t>1691,281,META,371.16,SELL,2024-04-22 12:23:00</t>
  </si>
  <si>
    <t>4168,566,META,890.64,SELL,2024-01-12 19:15:00</t>
  </si>
  <si>
    <t>5705,860,AMZN,564.98,BUY,2024-02-10 06:35:00</t>
  </si>
  <si>
    <t>4669,548,TSLA,199.91,SELL,2024-03-12 22:05:00</t>
  </si>
  <si>
    <t>9952,42,AMZN,121.57,BUY,2024-05-06 04:00:00</t>
  </si>
  <si>
    <t>9952,196,TSLA,743.32,SELL,2024-02-27 05:05:00</t>
  </si>
  <si>
    <t>5705,898,META,204.77,SELL,2024-02-16 20:28:00</t>
  </si>
  <si>
    <t>4669,972,TSLA,363.01,BUY,2024-05-01 12:19:00</t>
  </si>
  <si>
    <t>7922,402,AMZN,745.59,BUY,2024-05-11 16:30:00</t>
  </si>
  <si>
    <t>7531,82,MSFT,416.86,BUY,2024-04-03 12:55:00</t>
  </si>
  <si>
    <t>5751,708,AMZN,811.27,SELL,2024-04-27 23:11:00</t>
  </si>
  <si>
    <t>5705,129,AMZN,880.51,SELL,2024-05-07 00:02:00</t>
  </si>
  <si>
    <t>1691,320,TSLA,357.91,BUY,2024-03-21 21:27:00</t>
  </si>
  <si>
    <t>9952,377,AMZN,729.25,BUY,2024-01-05 09:37:00</t>
  </si>
  <si>
    <t>9952,768,META,760.04,BUY,2024-05-20 17:39:00</t>
  </si>
  <si>
    <t>1691,149,MSFT,431.18,SELL,2024-01-25 01:53:00</t>
  </si>
  <si>
    <t>5705,670,MSFT,119.85,SELL,2024-05-14 15:24:00</t>
  </si>
  <si>
    <t>7922,83,TSLA,350.84,SELL,2024-01-12 04:14:00</t>
  </si>
  <si>
    <t>7531,256,META,812.79,BUY,2024-03-03 22:07:00</t>
  </si>
  <si>
    <t>4168,29,MSFT,776.62,SELL,2024-04-04 04:41:00</t>
  </si>
  <si>
    <t>5751,885,META,125.48,SELL,2024-04-30 07:49:00</t>
  </si>
  <si>
    <t>1691,895,MSFT,877.64,SELL,2024-04-24 06:59:00</t>
  </si>
  <si>
    <t>9952,157,AMZN,930.55,SELL,2024-05-12 20:11:00</t>
  </si>
  <si>
    <t>4710,433,META,246.94,BUY,2024-03-05 02:49:00</t>
  </si>
  <si>
    <t>5705,773,AMZN,560.46,BUY,2024-05-26 14:14:00</t>
  </si>
  <si>
    <t>7922,421,TSLA,621.83,SELL,2024-03-22 19:39:00</t>
  </si>
  <si>
    <t>4168,848,META,552.08,SELL,2024-02-15 09:53:00</t>
  </si>
  <si>
    <t>4710,541,MSFT,688.04,SELL,2024-04-09 22:37:00</t>
  </si>
  <si>
    <t>6298,187,META,954.65,BUY,2024-02-21 02:13:00</t>
  </si>
  <si>
    <t>2941,101,AMZN,727.79,BUY,2024-05-04 18:55:00</t>
  </si>
  <si>
    <t>5751,800,META,409.51,SELL,2024-05-22 10:31:00</t>
  </si>
  <si>
    <t>5751,446,TSLA,281.01,SELL,2024-04-19 10:50:00</t>
  </si>
  <si>
    <t>5297,823,AMZN,968.93,BUY,2024-03-27 23:01:00</t>
  </si>
  <si>
    <t>4669,558,META,168.72,SELL,2024-02-10 10:28:00</t>
  </si>
  <si>
    <t>5751,161,AMZN,181.17,BUY,2024-03-07 17:44:00</t>
  </si>
  <si>
    <t>4710,386,TSLA,573.55,SELL,2024-03-16 00:58:00</t>
  </si>
  <si>
    <t>7531,885,MSFT,698.62,SELL,2024-04-25 04:37:00</t>
  </si>
  <si>
    <t>7922,223,MSFT,230.7,SELL,2024-02-14 00:27:00</t>
  </si>
  <si>
    <t>5705,947,AMZN,317.71,SELL,2024-05-23 18:44:00</t>
  </si>
  <si>
    <t>4710,488,TSLA,512.43,SELL,2024-01-18 07:48:00</t>
  </si>
  <si>
    <t>4168,462,AMZN,881.46,BUY,2024-01-18 01:48:00</t>
  </si>
  <si>
    <t>5705,554,META,110.41,BUY,2024-03-10 07:56:00</t>
  </si>
  <si>
    <t>2941,625,AMZN,935.83,SELL,2024-02-11 13:31:00</t>
  </si>
  <si>
    <t>1691,203,META,520.28,BUY,2024-04-28 14:38:00</t>
  </si>
  <si>
    <t>1691,256,META,348.15,SELL,2024-01-31 10:14:00</t>
  </si>
  <si>
    <t>4168,468,TSLA,817.56,BUY,2024-01-24 08:53:00</t>
  </si>
  <si>
    <t>7922,792,AMZN,217.77,SELL,2024-03-06 13:02:00</t>
  </si>
  <si>
    <t>2941,318,MSFT,587.71,BUY,2024-01-10 04:30:00</t>
  </si>
  <si>
    <t>7938,633,TSLA,426.04,SELL,2024-03-10 20:07:00</t>
  </si>
  <si>
    <t>7922,839,META,365.19,BUY,2024-01-21 03:50:00</t>
  </si>
  <si>
    <t>5705,205,TSLA,969.17,BUY,2024-01-02 14:52:00</t>
  </si>
  <si>
    <t>5258,316,MSFT,848.1,BUY,2024-02-19 00:42:00</t>
  </si>
  <si>
    <t>1691,956,TSLA,299.42,SELL,2024-05-07 10:03:00</t>
  </si>
  <si>
    <t>1691,689,MSFT,723.35,BUY,2024-05-29 15:15:00</t>
  </si>
  <si>
    <t>4168,33,TSLA,786.36,SELL,2024-01-07 19:48:00</t>
  </si>
  <si>
    <t>5297,13,TSLA,708.09,SELL,2024-04-24 01:07:00</t>
  </si>
  <si>
    <t>9094,828,MSFT,545.95,SELL,2024-03-04 16:01:00</t>
  </si>
  <si>
    <t>9952,700,AMZN,882.65,BUY,2024-04-16 07:21:00</t>
  </si>
  <si>
    <t>4669,934,MSFT,238.07,BUY,2024-02-27 21:47:00</t>
  </si>
  <si>
    <t>4669,15,MSFT,857.91,SELL,2024-04-25 18:57:00</t>
  </si>
  <si>
    <t>1691,879,MSFT,526.25,BUY,2024-01-20 15:44:00</t>
  </si>
  <si>
    <t>7922,23,META,451.77,SELL,2024-01-02 15:25:00</t>
  </si>
  <si>
    <t>7938,138,AMZN,584.8,SELL,2024-02-26 19:31:00</t>
  </si>
  <si>
    <t>7922,75,MSFT,764.87,SELL,2024-02-18 08:18:00</t>
  </si>
  <si>
    <t>4168,379,AMZN,885.88,BUY,2024-01-19 02:26:00</t>
  </si>
  <si>
    <t>1691,311,META,931.25,SELL,2024-01-16 17:04:00</t>
  </si>
  <si>
    <t>5751,631,TSLA,565.85,SELL,2024-04-19 21:54:00</t>
  </si>
  <si>
    <t>2941,112,TSLA,746.5,SELL,2024-03-10 23:04:00</t>
  </si>
  <si>
    <t>9952,496,TSLA,619.57,BUY,2024-05-17 02:59:00</t>
  </si>
  <si>
    <t>2941,186,AMZN,115.5,SELL,2024-01-11 19:54:00</t>
  </si>
  <si>
    <t>7938,406,MSFT,126.32,SELL,2024-02-03 00:48:00</t>
  </si>
  <si>
    <t>4710,1000,AMZN,211.31,SELL,2024-02-16 15:37:00</t>
  </si>
  <si>
    <t>7938,715,AMZN,645.62,SELL,2024-01-12 02:11:00</t>
  </si>
  <si>
    <t>5258,219,AMZN,208.04,BUY,2024-02-21 15:03:00</t>
  </si>
  <si>
    <t>9952,514,AMZN,783.78,BUY,2024-03-20 06:14:00</t>
  </si>
  <si>
    <t>2941,569,MSFT,404.01,SELL,2024-03-23 10:17:00</t>
  </si>
  <si>
    <t>1691,440,TSLA,253.25,SELL,2024-04-19 21:57:00</t>
  </si>
  <si>
    <t>4710,957,AMZN,830.37,BUY,2024-01-31 10:54:00</t>
  </si>
  <si>
    <t>4710,62,TSLA,345.44,BUY,2024-04-20 16:18:00</t>
  </si>
  <si>
    <t>5705,559,MSFT,571.34,BUY,2024-02-22 06:28:00</t>
  </si>
  <si>
    <t>1691,273,META,489.92,BUY,2024-04-20 21:01:00</t>
  </si>
  <si>
    <t>7922,929,META,977.36,BUY,2024-03-24 22:39:00</t>
  </si>
  <si>
    <t>5751,166,META,932.22,SELL,2024-02-23 11:46:00</t>
  </si>
  <si>
    <t>5258,233,MSFT,382.31,BUY,2024-04-13 07:34:00</t>
  </si>
  <si>
    <t>9094,56,AMZN,409.08,SELL,2024-01-16 22:31:00</t>
  </si>
  <si>
    <t>6298,759,MSFT,551.26,BUY,2024-01-16 20:35:00</t>
  </si>
  <si>
    <t>5258,210,MSFT,807.37,SELL,2024-04-05 08:53:00</t>
  </si>
  <si>
    <t>5297,433,MSFT,426.6,BUY,2024-05-21 09:50:00</t>
  </si>
  <si>
    <t>4168,491,TSLA,738.5,SELL,2024-03-15 03:59:00</t>
  </si>
  <si>
    <t>7938,387,MSFT,778.06,SELL,2024-03-20 07:06:00</t>
  </si>
  <si>
    <t>2941,730,AMZN,548.57,SELL,2024-02-18 04:44:00</t>
  </si>
  <si>
    <t>5705,159,MSFT,462.68,SELL,2024-03-22 16:14:00</t>
  </si>
  <si>
    <t>5297,629,TSLA,167.49,SELL,2024-03-19 08:53:00</t>
  </si>
  <si>
    <t>4710,996,MSFT,529.14,SELL,2024-01-21 22:53:00</t>
  </si>
  <si>
    <t>7531,656,MSFT,137.24,BUY,2024-02-13 18:46:00</t>
  </si>
  <si>
    <t>6298,677,MSFT,738.61,SELL,2024-04-01 18:07:00</t>
  </si>
  <si>
    <t>1691,10,MSFT,142.87,BUY,2024-05-01 19:02:00</t>
  </si>
  <si>
    <t>5705,403,MSFT,842.44,SELL,2024-04-22 13:36:00</t>
  </si>
  <si>
    <t>4168,566,META,904.74,SELL,2024-04-25 19:55:00</t>
  </si>
  <si>
    <t>4168,230,META,624.32,BUY,2024-02-11 00:27:00</t>
  </si>
  <si>
    <t>5705,925,META,400.54,BUY,2024-02-21 18:03:00</t>
  </si>
  <si>
    <t>2941,941,TSLA,598.04,BUY,2024-05-11 09:30:00</t>
  </si>
  <si>
    <t>7922,412,META,377.82,BUY,2024-05-30 06:51:00</t>
  </si>
  <si>
    <t>4669,177,TSLA,644.68,SELL,2024-04-26 12:52:00</t>
  </si>
  <si>
    <t>1691,188,TSLA,626.71,BUY,2024-02-25 09:42:00</t>
  </si>
  <si>
    <t>5705,771,META,141.95,SELL,2024-05-02 11:03:00</t>
  </si>
  <si>
    <t>5751,192,TSLA,567.78,SELL,2024-01-09 13:49:00</t>
  </si>
  <si>
    <t>7922,990,META,709.05,SELL,2024-04-20 05:03:00</t>
  </si>
  <si>
    <t>5705,29,AMZN,531.1,SELL,2024-03-14 01:22:00</t>
  </si>
  <si>
    <t>6298,348,MSFT,388.63,SELL,2024-02-18 01:46:00</t>
  </si>
  <si>
    <t>9094,774,AMZN,989.57,BUY,2024-02-10 14:13:00</t>
  </si>
  <si>
    <t>9094,189,AMZN,726.63,BUY,2024-03-06 01:10:00</t>
  </si>
  <si>
    <t>6298,369,TSLA,136.36,BUY,2024-03-09 21:51:00</t>
  </si>
  <si>
    <t>6298,75,AMZN,562.98,BUY,2024-03-25 04:21:00</t>
  </si>
  <si>
    <t>6298,834,TSLA,184.38,SELL,2024-04-07 02:42:00</t>
  </si>
  <si>
    <t>1691,880,TSLA,814.07,SELL,2024-02-08 13:41:00</t>
  </si>
  <si>
    <t>5751,53,MSFT,581.3,BUY,2024-03-03 05:09:00</t>
  </si>
  <si>
    <t>6298,149,MSFT,537.14,BUY,2024-03-31 20:31:00</t>
  </si>
  <si>
    <t>7938,53,TSLA,639.59,BUY,2024-05-19 20:25:00</t>
  </si>
  <si>
    <t>7531,771,META,817.59,SELL,2024-03-06 02:37:00</t>
  </si>
  <si>
    <t>9094,451,META,470.29,SELL,2024-04-17 15:17:00</t>
  </si>
  <si>
    <t>2941,772,META,478.16,BUY,2024-04-22 20:52:00</t>
  </si>
  <si>
    <t>7922,471,META,526.8,SELL,2024-02-19 12:17:00</t>
  </si>
  <si>
    <t>4168,607,META,214.09,SELL,2024-03-11 00:20:00</t>
  </si>
  <si>
    <t>1691,142,AMZN,975.57,BUY,2024-04-30 20:21:00</t>
  </si>
  <si>
    <t>4710,772,META,702.27,SELL,2024-05-09 04:06:00</t>
  </si>
  <si>
    <t>4168,811,TSLA,823.8,SELL,2024-02-16 06:35:00</t>
  </si>
  <si>
    <t>5705,675,AMZN,756.61,SELL,2024-02-15 17:32:00</t>
  </si>
  <si>
    <t>7531,227,AMZN,728.21,SELL,2024-05-09 15:48:00</t>
  </si>
  <si>
    <t>9094,315,MSFT,861.86,SELL,2024-03-27 13:48:00</t>
  </si>
  <si>
    <t>6298,99,AMZN,885.91,SELL,2024-02-17 22:26:00</t>
  </si>
  <si>
    <t>5705,518,META,896.59,BUY,2024-05-22 16:23:00</t>
  </si>
  <si>
    <t>9952,168,META,484.2,SELL,2024-01-22 09:55:00</t>
  </si>
  <si>
    <t>7938,935,MSFT,140.64,BUY,2024-03-29 13:58:00</t>
  </si>
  <si>
    <t>7938,516,META,903.15,BUY,2024-05-05 04:18:00</t>
  </si>
  <si>
    <t>7531,49,AMZN,699.36,BUY,2024-02-12 07:18:00</t>
  </si>
  <si>
    <t>4168,176,MSFT,487.66,BUY,2024-03-07 05:13:00</t>
  </si>
  <si>
    <t>5297,671,AMZN,736.0,BUY,2024-03-29 15:56:00</t>
  </si>
  <si>
    <t>6298,139,TSLA,403.69,SELL,2024-01-20 02:55:00</t>
  </si>
  <si>
    <t>4669,928,MSFT,393.64,SELL,2024-03-28 18:12:00</t>
  </si>
  <si>
    <t>7531,750,TSLA,143.25,SELL,2024-04-13 22:41:00</t>
  </si>
  <si>
    <t>7938,378,MSFT,683.57,SELL,2024-01-07 02:06:00</t>
  </si>
  <si>
    <t>4168,59,META,924.77,SELL,2024-01-18 18:49:00</t>
  </si>
  <si>
    <t>5297,341,META,879.55,BUY,2024-05-28 12:45:00</t>
  </si>
  <si>
    <t>7938,833,META,821.3,BUY,2024-05-12 13:59:00</t>
  </si>
  <si>
    <t>7531,572,MSFT,496.52,SELL,2024-04-07 20:24:00</t>
  </si>
  <si>
    <t>1691,674,AMZN,523.07,BUY,2024-02-22 15:20:00</t>
  </si>
  <si>
    <t>5705,557,META,791.59,SELL,2024-05-05 09:00:00</t>
  </si>
  <si>
    <t>7938,585,AMZN,708.69,BUY,2024-04-06 12:43:00</t>
  </si>
  <si>
    <t>1691,706,AMZN,301.44,SELL,2024-03-28 21:00:00</t>
  </si>
  <si>
    <t>5751,217,META,233.85,BUY,2024-05-23 14:20:00</t>
  </si>
  <si>
    <t>5297,503,TSLA,397.63,BUY,2024-02-13 18:36:00</t>
  </si>
  <si>
    <t>5751,205,MSFT,389.29,BUY,2024-01-03 01:20:00</t>
  </si>
  <si>
    <t>5751,105,AMZN,275.41,SELL,2024-04-03 05:04:00</t>
  </si>
  <si>
    <t>5751,401,META,692.03,SELL,2024-01-10 05:22:00</t>
  </si>
  <si>
    <t>5751,769,MSFT,989.49,BUY,2024-04-16 14:27:00</t>
  </si>
  <si>
    <t>4168,667,MSFT,861.71,SELL,2024-01-10 03:12:00</t>
  </si>
  <si>
    <t>1691,934,AMZN,142.59,SELL,2024-01-09 02:19:00</t>
  </si>
  <si>
    <t>1691,269,AMZN,815.91,BUY,2024-03-26 23:20:00</t>
  </si>
  <si>
    <t>7938,367,TSLA,847.97,SELL,2024-05-12 09:46:00</t>
  </si>
  <si>
    <t>5297,62,META,510.15,BUY,2024-01-01 20:26:00</t>
  </si>
  <si>
    <t>1691,144,TSLA,808.36,BUY,2024-05-14 18:16:00</t>
  </si>
  <si>
    <t>9094,301,AMZN,583.89,SELL,2024-05-18 16:15:00</t>
  </si>
  <si>
    <t>4168,997,TSLA,847.87,BUY,2024-02-05 03:51:00</t>
  </si>
  <si>
    <t>5705,3,TSLA,984.06,SELL,2024-05-28 13:50:00</t>
  </si>
  <si>
    <t>7531,321,META,505.4,BUY,2024-05-16 07:45:00</t>
  </si>
  <si>
    <t>2941,782,TSLA,313.22,SELL,2024-03-12 16:44:00</t>
  </si>
  <si>
    <t>7531,352,META,334.91,BUY,2024-01-03 12:52:00</t>
  </si>
  <si>
    <t>2941,109,MSFT,735.68,BUY,2024-02-14 11:41:00</t>
  </si>
  <si>
    <t>4168,180,AMZN,958.35,SELL,2024-05-01 21:08:00</t>
  </si>
  <si>
    <t>4710,104,AMZN,812.97,SELL,2024-03-04 12:25:00</t>
  </si>
  <si>
    <t>5297,484,META,994.56,SELL,2024-01-25 05:14:00</t>
  </si>
  <si>
    <t>5751,520,META,838.45,SELL,2024-02-14 02:51:00</t>
  </si>
  <si>
    <t>5751,94,TSLA,447.36,BUY,2024-02-23 15:45:00</t>
  </si>
  <si>
    <t>5751,462,AMZN,609.03,BUY,2024-02-25 23:35:00</t>
  </si>
  <si>
    <t>6298,664,MSFT,635.19,SELL,2024-01-16 10:11:00</t>
  </si>
  <si>
    <t>5258,886,TSLA,888.96,SELL,2024-03-12 12:42:00</t>
  </si>
  <si>
    <t>2941,84,TSLA,925.45,BUY,2024-03-26 15:19:00</t>
  </si>
  <si>
    <t>5297,686,META,658.99,SELL,2024-02-17 08:58:00</t>
  </si>
  <si>
    <t>9952,742,TSLA,554.38,SELL,2024-01-17 09:33:00</t>
  </si>
  <si>
    <t>9094,375,AMZN,480.76,SELL,2024-02-20 22:04:00</t>
  </si>
  <si>
    <t>9094,227,MSFT,922.1,BUY,2024-03-30 04:48:00</t>
  </si>
  <si>
    <t>9952,82,MSFT,883.22,BUY,2024-02-28 14:55:00</t>
  </si>
  <si>
    <t>4669,807,TSLA,131.04,SELL,2024-03-18 05:54:00</t>
  </si>
  <si>
    <t>2941,442,AMZN,618.04,BUY,2024-04-05 13:45:00</t>
  </si>
  <si>
    <t>4669,332,AMZN,563.18,SELL,2024-02-05 19:43:00</t>
  </si>
  <si>
    <t>6298,36,MSFT,794.11,BUY,2024-03-06 13:20:00</t>
  </si>
  <si>
    <t>7922,655,AMZN,350.85,BUY,2024-02-28 22:27:00</t>
  </si>
  <si>
    <t>7531,476,MSFT,322.7,BUY,2024-02-19 03:13:00</t>
  </si>
  <si>
    <t>5751,885,TSLA,549.98,BUY,2024-03-27 16:32:00</t>
  </si>
  <si>
    <t>7531,638,MSFT,692.13,SELL,2024-01-29 11:14:00</t>
  </si>
  <si>
    <t>9094,480,MSFT,206.88,SELL,2024-04-05 06:19:00</t>
  </si>
  <si>
    <t>5258,343,TSLA,819.88,BUY,2024-01-05 23:02:00</t>
  </si>
  <si>
    <t>5297,338,META,903.67,BUY,2024-05-11 01:18:00</t>
  </si>
  <si>
    <t>7938,567,MSFT,348.6,SELL,2024-03-03 06:12:00</t>
  </si>
  <si>
    <t>9952,627,MSFT,879.64,SELL,2024-02-01 08:44:00</t>
  </si>
  <si>
    <t>5297,740,META,748.26,BUY,2024-04-02 02:16:00</t>
  </si>
  <si>
    <t>7531,641,MSFT,940.58,SELL,2024-03-28 22:21:00</t>
  </si>
  <si>
    <t>7938,895,TSLA,730.75,SELL,2024-03-29 07:25:00</t>
  </si>
  <si>
    <t>7922,488,MSFT,941.73,BUY,2024-05-23 15:56:00</t>
  </si>
  <si>
    <t>5705,881,META,452.91,SELL,2024-04-29 10:39:00</t>
  </si>
  <si>
    <t>5258,889,TSLA,599.12,SELL,2024-02-14 21:36:00</t>
  </si>
  <si>
    <t>5297,396,AMZN,712.01,SELL,2024-02-21 07:16:00</t>
  </si>
  <si>
    <t>1691,937,META,191.84,SELL,2024-04-01 11:48:00</t>
  </si>
  <si>
    <t>4168,534,TSLA,254.67,SELL,2024-04-19 18:44:00</t>
  </si>
  <si>
    <t>4669,305,META,935.24,BUY,2024-01-16 03:57:00</t>
  </si>
  <si>
    <t>1691,447,META,235.06,BUY,2024-02-19 14:36:00</t>
  </si>
  <si>
    <t>5258,753,AMZN,108.62,BUY,2024-04-08 21:06:00</t>
  </si>
  <si>
    <t>6298,636,TSLA,462.94,BUY,2024-05-24 12:32:00</t>
  </si>
  <si>
    <t>9094,863,META,175.07,BUY,2024-03-18 03:06:00</t>
  </si>
  <si>
    <t>7922,26,TSLA,785.88,SELL,2024-05-19 16:02:00</t>
  </si>
  <si>
    <t>7531,254,META,917.53,BUY,2024-02-14 01:42:00</t>
  </si>
  <si>
    <t>5297,213,META,617.87,BUY,2024-02-17 11:57:00</t>
  </si>
  <si>
    <t>7938,367,META,425.46,BUY,2024-01-05 22:26:00</t>
  </si>
  <si>
    <t>7922,570,MSFT,723.26,BUY,2024-03-31 12:42:00</t>
  </si>
  <si>
    <t>5751,908,MSFT,844.62,SELL,2024-04-29 10:01:00</t>
  </si>
  <si>
    <t>5705,389,META,703.15,BUY,2024-02-26 14:12:00</t>
  </si>
  <si>
    <t>5751,78,TSLA,401.39,SELL,2024-02-15 00:39:00</t>
  </si>
  <si>
    <t>4168,470,AMZN,591.15,BUY,2024-05-10 05:12:00</t>
  </si>
  <si>
    <t>1691,4,META,234.11,BUY,2024-01-16 19:51:00</t>
  </si>
  <si>
    <t>5297,276,TSLA,678.34,SELL,2024-05-23 23:33:00</t>
  </si>
  <si>
    <t>7922,689,AMZN,791.08,BUY,2024-02-06 11:07:00</t>
  </si>
  <si>
    <t>5258,718,TSLA,406.38,BUY,2024-03-15 15:22:00</t>
  </si>
  <si>
    <t>1691,369,MSFT,651.43,BUY,2024-03-04 18:53:00</t>
  </si>
  <si>
    <t>4710,656,MSFT,151.91,BUY,2024-05-20 19:33:00</t>
  </si>
  <si>
    <t>1691,856,META,218.14,SELL,2024-02-22 21:51:00</t>
  </si>
  <si>
    <t>6298,852,META,799.83,SELL,2024-01-13 09:41:00</t>
  </si>
  <si>
    <t>4168,357,AMZN,950.87,SELL,2024-03-14 18:20:00</t>
  </si>
  <si>
    <t>7938,8,TSLA,690.59,BUY,2024-03-13 07:06:00</t>
  </si>
  <si>
    <t>5297,301,TSLA,315.85,SELL,2024-03-05 13:56:00</t>
  </si>
  <si>
    <t>5705,761,META,736.09,BUY,2024-01-05 01:52:00</t>
  </si>
  <si>
    <t>1691,296,TSLA,602.21,BUY,2024-05-05 20:29:00</t>
  </si>
  <si>
    <t>5751,125,MSFT,108.52,SELL,2024-05-19 00:56:00</t>
  </si>
  <si>
    <t>4710,613,META,827.31,BUY,2024-01-22 16:46:00</t>
  </si>
  <si>
    <t>5297,944,TSLA,894.91,BUY,2024-05-24 07:17:00</t>
  </si>
  <si>
    <t>1691,460,META,293.19,BUY,2024-02-20 13:08:00</t>
  </si>
  <si>
    <t>6298,663,AMZN,444.45,BUY,2024-04-08 11:45:00</t>
  </si>
  <si>
    <t>4669,559,MSFT,256.72,SELL,2024-02-21 23:40:00</t>
  </si>
  <si>
    <t>7531,159,META,906.42,BUY,2024-01-22 08:13:00</t>
  </si>
  <si>
    <t>5297,807,META,953.23,SELL,2024-02-12 19:50:00</t>
  </si>
  <si>
    <t>4168,187,MSFT,327.69,SELL,2024-02-04 16:39:00</t>
  </si>
  <si>
    <t>9094,990,MSFT,882.59,SELL,2024-03-20 08:02:00</t>
  </si>
  <si>
    <t>7938,631,META,778.62,SELL,2024-03-04 20:17:00</t>
  </si>
  <si>
    <t>4710,925,META,311.98,SELL,2024-03-11 12:58:00</t>
  </si>
  <si>
    <t>7531,920,MSFT,612.42,BUY,2024-03-10 12:59:00</t>
  </si>
  <si>
    <t>7938,861,TSLA,680.78,BUY,2024-01-10 12:52:00</t>
  </si>
  <si>
    <t>4710,402,TSLA,656.1,BUY,2024-02-05 05:49:00</t>
  </si>
  <si>
    <t>7531,210,AMZN,770.04,BUY,2024-02-21 04:08:00</t>
  </si>
  <si>
    <t>9952,16,MSFT,643.9,BUY,2024-04-28 20:30:00</t>
  </si>
  <si>
    <t>2941,404,TSLA,180.86,BUY,2024-02-29 22:56:00</t>
  </si>
  <si>
    <t>5258,449,META,730.35,SELL,2024-02-22 20:51:00</t>
  </si>
  <si>
    <t>5705,764,META,910.79,SELL,2024-01-07 02:14:00</t>
  </si>
  <si>
    <t>7531,967,AMZN,520.74,BUY,2024-03-20 21:55:00</t>
  </si>
  <si>
    <t>7922,53,TSLA,449.36,BUY,2024-03-21 15:24:00</t>
  </si>
  <si>
    <t>1691,200,META,724.85,SELL,2024-02-19 17:36:00</t>
  </si>
  <si>
    <t>4168,465,META,483.75,SELL,2024-03-19 01:34:00</t>
  </si>
  <si>
    <t>7531,681,AMZN,755.01,BUY,2024-02-17 20:05:00</t>
  </si>
  <si>
    <t>9094,482,TSLA,671.68,BUY,2024-02-29 12:54:00</t>
  </si>
  <si>
    <t>1691,395,META,502.81,SELL,2024-05-09 23:20:00</t>
  </si>
  <si>
    <t>7938,928,META,813.6,BUY,2024-05-09 14:56:00</t>
  </si>
  <si>
    <t>1691,564,AMZN,994.78,SELL,2024-02-12 01:33:00</t>
  </si>
  <si>
    <t>4710,395,TSLA,951.13,SELL,2024-01-05 08:47:00</t>
  </si>
  <si>
    <t>7531,223,AMZN,670.33,BUY,2024-04-11 19:38:00</t>
  </si>
  <si>
    <t>5297,347,TSLA,311.93,SELL,2024-04-20 02:52:00</t>
  </si>
  <si>
    <t>5705,173,META,567.99,BUY,2024-03-14 23:56:00</t>
  </si>
  <si>
    <t>4710,74,MSFT,594.81,SELL,2024-02-26 03:11:00</t>
  </si>
  <si>
    <t>6298,943,AMZN,805.29,BUY,2024-02-29 05:46:00</t>
  </si>
  <si>
    <t>5297,58,AMZN,255.04,BUY,2024-04-23 13:28:00</t>
  </si>
  <si>
    <t>5258,653,AMZN,608.1,SELL,2024-01-30 01:45:00</t>
  </si>
  <si>
    <t>9094,421,MSFT,835.54,BUY,2024-04-16 14:12:00</t>
  </si>
  <si>
    <t>7922,325,AMZN,637.46,SELL,2024-04-19 10:15:00</t>
  </si>
  <si>
    <t>9952,525,MSFT,965.46,BUY,2024-05-16 23:24:00</t>
  </si>
  <si>
    <t>7922,635,AMZN,683.86,SELL,2024-03-06 15:16:00</t>
  </si>
  <si>
    <t>7531,921,AMZN,442.13,BUY,2024-04-15 17:29:00</t>
  </si>
  <si>
    <t>4168,472,TSLA,522.46,BUY,2024-04-10 17:16:00</t>
  </si>
  <si>
    <t>9952,77,AMZN,301.55,SELL,2024-05-20 01:58:00</t>
  </si>
  <si>
    <t>9094,591,MSFT,374.42,BUY,2024-05-09 20:31:00</t>
  </si>
  <si>
    <t>2941,374,MSFT,827.1,SELL,2024-02-29 08:19:00</t>
  </si>
  <si>
    <t>4710,907,MSFT,609.55,SELL,2024-05-24 06:07:00</t>
  </si>
  <si>
    <t>7531,355,AMZN,367.79,BUY,2024-04-27 14:25:00</t>
  </si>
  <si>
    <t>5297,4,META,610.05,SELL,2024-02-19 04:23:00</t>
  </si>
  <si>
    <t>4669,942,TSLA,340.96,BUY,2024-03-22 02:47:00</t>
  </si>
  <si>
    <t>4710,172,MSFT,326.27,SELL,2024-02-24 13:45:00</t>
  </si>
  <si>
    <t>4669,124,AMZN,291.35,SELL,2024-01-06 18:18:00</t>
  </si>
  <si>
    <t>5258,972,TSLA,404.53,SELL,2024-04-05 03:54:00</t>
  </si>
  <si>
    <t>5705,859,META,536.72,BUY,2024-04-03 06:04:00</t>
  </si>
  <si>
    <t>4168,582,MSFT,190.67,SELL,2024-04-27 07:34:00</t>
  </si>
  <si>
    <t>7938,663,MSFT,298.25,SELL,2024-05-16 09:18:00</t>
  </si>
  <si>
    <t>5705,595,AMZN,545.42,SELL,2024-01-14 18:06:00</t>
  </si>
  <si>
    <t>7922,992,AMZN,502.86,SELL,2024-04-02 21:11:00</t>
  </si>
  <si>
    <t>5751,104,META,677.97,BUY,2024-01-31 06:46:00</t>
  </si>
  <si>
    <t>9094,17,AMZN,172.66,SELL,2024-04-05 16:00:00</t>
  </si>
  <si>
    <t>2941,652,MSFT,909.19,BUY,2024-01-12 22:52:00</t>
  </si>
  <si>
    <t>4168,645,AMZN,138.74,BUY,2024-04-08 12:30:00</t>
  </si>
  <si>
    <t>6298,595,META,266.08,BUY,2024-01-25 17:23:00</t>
  </si>
  <si>
    <t>5258,174,TSLA,380.51,SELL,2024-05-03 20:18:00</t>
  </si>
  <si>
    <t>2941,735,META,658.2,BUY,2024-04-14 09:10:00</t>
  </si>
  <si>
    <t>1691,982,MSFT,252.09,BUY,2024-01-10 03:20:00</t>
  </si>
  <si>
    <t>9094,653,AMZN,367.54,SELL,2024-04-10 15:34:00</t>
  </si>
  <si>
    <t>9094,237,AMZN,644.89,SELL,2024-02-29 14:38:00</t>
  </si>
  <si>
    <t>7922,202,MSFT,823.48,BUY,2024-03-31 04:38:00</t>
  </si>
  <si>
    <t>5258,611,AMZN,596.96,BUY,2024-01-18 04:45:00</t>
  </si>
  <si>
    <t>4669,363,MSFT,783.67,BUY,2024-04-03 22:11:00</t>
  </si>
  <si>
    <t>5705,262,MSFT,478.8,SELL,2024-03-13 04:54:00</t>
  </si>
  <si>
    <t>6298,893,AMZN,615.45,BUY,2024-05-09 07:52:00</t>
  </si>
  <si>
    <t>4168,877,AMZN,996.27,SELL,2024-02-27 15:32:00</t>
  </si>
  <si>
    <t>7938,897,MSFT,463.01,SELL,2024-03-24 17:21:00</t>
  </si>
  <si>
    <t>1691,191,MSFT,652.41,BUY,2024-01-25 07:00:00</t>
  </si>
  <si>
    <t>9952,586,TSLA,647.71,BUY,2024-01-25 00:00:00</t>
  </si>
  <si>
    <t>5705,41,MSFT,988.31,SELL,2024-03-30 07:02:00</t>
  </si>
  <si>
    <t>9094,921,TSLA,493.9,SELL,2024-04-11 19:21:00</t>
  </si>
  <si>
    <t>5297,127,MSFT,926.68,SELL,2024-03-24 01:23:00</t>
  </si>
  <si>
    <t>5258,96,MSFT,657.62,SELL,2024-02-23 14:24:00</t>
  </si>
  <si>
    <t>7922,929,TSLA,727.47,BUY,2024-02-10 10:23:00</t>
  </si>
  <si>
    <t>7938,474,META,990.96,SELL,2024-04-09 19:19:00</t>
  </si>
  <si>
    <t>6298,539,META,104.27,SELL,2024-02-02 22:55:00</t>
  </si>
  <si>
    <t>9952,114,TSLA,587.99,SELL,2024-03-13 04:17:00</t>
  </si>
  <si>
    <t>1691,756,META,796.6,BUY,2024-05-10 04:38:00</t>
  </si>
  <si>
    <t>1691,87,TSLA,698.63,BUY,2024-01-25 19:58:00</t>
  </si>
  <si>
    <t>5258,771,MSFT,326.19,BUY,2024-01-09 16:00:00</t>
  </si>
  <si>
    <t>5751,815,TSLA,989.09,SELL,2024-04-26 05:39:00</t>
  </si>
  <si>
    <t>4710,463,MSFT,358.16,BUY,2024-02-06 10:47:00</t>
  </si>
  <si>
    <t>9094,887,TSLA,220.92,BUY,2024-03-09 21:26:00</t>
  </si>
  <si>
    <t>2941,567,TSLA,226.35,BUY,2024-05-13 00:51:00</t>
  </si>
  <si>
    <t>7938,119,MSFT,715.04,SELL,2024-01-12 09:07:00</t>
  </si>
  <si>
    <t>7938,621,MSFT,297.14,SELL,2024-01-03 01:16:00</t>
  </si>
  <si>
    <t>9094,209,AMZN,534.01,SELL,2024-03-29 14:15:00</t>
  </si>
  <si>
    <t>4669,410,MSFT,759.58,BUY,2024-03-02 00:04:00</t>
  </si>
  <si>
    <t>5705,803,AMZN,958.19,BUY,2024-01-16 02:08:00</t>
  </si>
  <si>
    <t>7531,935,TSLA,593.08,BUY,2024-02-08 02:58:00</t>
  </si>
  <si>
    <t>7938,467,TSLA,925.31,SELL,2024-03-21 19:32:00</t>
  </si>
  <si>
    <t>7938,384,META,633.1,SELL,2024-04-20 00:35:00</t>
  </si>
  <si>
    <t>7922,178,AMZN,183.82,BUY,2024-05-10 17:50:00</t>
  </si>
  <si>
    <t>4710,74,AMZN,615.89,SELL,2024-05-01 22:36:00</t>
  </si>
  <si>
    <t>4710,829,META,371.95,BUY,2024-04-16 18:41:00</t>
  </si>
  <si>
    <t>5258,825,MSFT,374.43,SELL,2024-04-01 01:57:00</t>
  </si>
  <si>
    <t>7922,114,MSFT,769.38,SELL,2024-02-07 18:46:00</t>
  </si>
  <si>
    <t>9952,652,AMZN,571.8,SELL,2024-04-21 21:40:00</t>
  </si>
  <si>
    <t>5258,874,AMZN,830.74,SELL,2024-04-20 13:24:00</t>
  </si>
  <si>
    <t>9094,646,AMZN,996.99,SELL,2024-02-22 18:38:00</t>
  </si>
  <si>
    <t>9952,647,MSFT,162.83,SELL,2024-04-15 13:37:00</t>
  </si>
  <si>
    <t>5751,579,TSLA,890.15,BUY,2024-02-14 14:12:00</t>
  </si>
  <si>
    <t>5258,658,META,289.03,SELL,2024-05-24 06:41:00</t>
  </si>
  <si>
    <t>6298,382,TSLA,540.91,SELL,2024-04-07 05:51:00</t>
  </si>
  <si>
    <t>9952,243,MSFT,865.9,BUY,2024-02-07 21:44:00</t>
  </si>
  <si>
    <t>4168,334,AMZN,967.23,SELL,2024-03-12 03:03:00</t>
  </si>
  <si>
    <t>6298,567,TSLA,946.4,BUY,2024-01-12 05:40:00</t>
  </si>
  <si>
    <t>7922,292,AMZN,738.81,BUY,2024-01-26 09:27:00</t>
  </si>
  <si>
    <t>5297,674,META,750.28,SELL,2024-02-28 09:21:00</t>
  </si>
  <si>
    <t>5751,246,TSLA,798.84,BUY,2024-02-28 21:45:00</t>
  </si>
  <si>
    <t>9094,522,META,560.23,BUY,2024-03-19 20:39:00</t>
  </si>
  <si>
    <t>5751,465,META,633.08,BUY,2024-02-04 02:19:00</t>
  </si>
  <si>
    <t>5705,175,MSFT,429.1,BUY,2024-02-10 15:48:00</t>
  </si>
  <si>
    <t>4710,563,TSLA,693.74,BUY,2024-02-09 15:50:00</t>
  </si>
  <si>
    <t>1691,517,MSFT,784.44,BUY,2024-03-02 18:57:00</t>
  </si>
  <si>
    <t>2941,25,META,274.61,SELL,2024-02-28 03:00:00</t>
  </si>
  <si>
    <t>4168,114,MSFT,842.86,SELL,2024-05-05 08:40:00</t>
  </si>
  <si>
    <t>9094,194,TSLA,205.07,BUY,2024-01-03 15:47:00</t>
  </si>
  <si>
    <t>5705,659,AMZN,377.58,SELL,2024-05-08 23:07:00</t>
  </si>
  <si>
    <t>7938,460,TSLA,522.32,BUY,2024-01-24 06:20:00</t>
  </si>
  <si>
    <t>2941,917,MSFT,522.99,BUY,2024-01-18 04:25:00</t>
  </si>
  <si>
    <t>7531,904,AMZN,937.01,BUY,2024-01-29 00:27:00</t>
  </si>
  <si>
    <t>1691,247,MSFT,213.05,BUY,2024-04-21 11:22:00</t>
  </si>
  <si>
    <t>4669,847,META,915.14,BUY,2024-01-07 17:53:00</t>
  </si>
  <si>
    <t>7531,307,MSFT,948.21,SELL,2024-04-29 00:37:00</t>
  </si>
  <si>
    <t>7531,894,META,901.81,BUY,2024-03-24 19:40:00</t>
  </si>
  <si>
    <t>7922,23,AMZN,667.08,BUY,2024-02-08 10:50:00</t>
  </si>
  <si>
    <t>5258,416,TSLA,850.48,SELL,2024-01-03 15:42:00</t>
  </si>
  <si>
    <t>5751,428,TSLA,183.8,SELL,2024-04-18 16:14:00</t>
  </si>
  <si>
    <t>5705,829,TSLA,732.52,BUY,2024-03-17 01:44:00</t>
  </si>
  <si>
    <t>5297,709,MSFT,694.61,BUY,2024-05-06 01:21:00</t>
  </si>
  <si>
    <t>7531,568,TSLA,724.35,SELL,2024-05-21 14:24:00</t>
  </si>
  <si>
    <t>5258,243,TSLA,772.23,BUY,2024-03-07 11:06:00</t>
  </si>
  <si>
    <t>4669,726,META,669.43,SELL,2024-05-03 13:16:00</t>
  </si>
  <si>
    <t>5751,415,META,142.17,SELL,2024-01-10 12:21:00</t>
  </si>
  <si>
    <t>4168,542,META,351.53,SELL,2024-05-19 14:09:00</t>
  </si>
  <si>
    <t>9952,614,AMZN,867.91,SELL,2024-05-05 12:11:00</t>
  </si>
  <si>
    <t>9952,817,MSFT,900.04,BUY,2024-05-14 07:57:00</t>
  </si>
  <si>
    <t>5258,490,META,288.5,SELL,2024-04-01 04:07:00</t>
  </si>
  <si>
    <t>6298,896,TSLA,583.4,SELL,2024-02-03 00:30:00</t>
  </si>
  <si>
    <t>7922,379,META,596.03,BUY,2024-04-06 11:25:00</t>
  </si>
  <si>
    <t>9952,101,META,299.21,SELL,2024-04-12 12:50:00</t>
  </si>
  <si>
    <t>5751,377,TSLA,424.64,BUY,2024-01-14 17:22:00</t>
  </si>
  <si>
    <t>9952,350,AMZN,654.56,SELL,2024-01-10 02:44:00</t>
  </si>
  <si>
    <t>7938,91,TSLA,126.35,BUY,2024-05-07 23:15:00</t>
  </si>
  <si>
    <t>5705,453,AMZN,623.28,BUY,2024-05-05 13:54:00</t>
  </si>
  <si>
    <t>5297,161,TSLA,486.64,BUY,2024-03-01 16:24:00</t>
  </si>
  <si>
    <t>6298,692,AMZN,157.63,BUY,2024-03-25 11:06:00</t>
  </si>
  <si>
    <t>4669,989,MSFT,733.45,BUY,2024-01-04 09:57:00</t>
  </si>
  <si>
    <t>2941,176,AMZN,805.49,SELL,2024-05-01 16:35:00</t>
  </si>
  <si>
    <t>5297,566,MSFT,554.92,SELL,2024-02-27 01:12:00</t>
  </si>
  <si>
    <t>9094,782,META,720.72,SELL,2024-05-11 17:05:00</t>
  </si>
  <si>
    <t>7938,193,META,157.57,BUY,2024-01-21 07:36:00</t>
  </si>
  <si>
    <t>7938,312,TSLA,288.54,SELL,2024-04-08 01:47:00</t>
  </si>
  <si>
    <t>1691,248,MSFT,481.86,SELL,2024-02-07 23:39:00</t>
  </si>
  <si>
    <t>1691,770,TSLA,970.64,SELL,2024-01-21 13:24:00</t>
  </si>
  <si>
    <t>9094,53,META,259.71,SELL,2024-04-25 22:21:00</t>
  </si>
  <si>
    <t>9094,760,AMZN,457.63,SELL,2024-04-05 03:29:00</t>
  </si>
  <si>
    <t>5258,557,TSLA,641.46,BUY,2024-01-22 04:02:00</t>
  </si>
  <si>
    <t>9952,16,MSFT,960.04,BUY,2024-05-01 22:21:00</t>
  </si>
  <si>
    <t>4710,383,AMZN,562.48,BUY,2024-03-15 20:19:00</t>
  </si>
  <si>
    <t>5258,1,MSFT,800.78,SELL,2024-05-15 02:26:00</t>
  </si>
  <si>
    <t>4168,714,AMZN,942.91,SELL,2024-02-26 23:02:00</t>
  </si>
  <si>
    <t>7922,954,MSFT,352.66,SELL,2024-01-09 08:13:00</t>
  </si>
  <si>
    <t>7922,269,AMZN,586.54,BUY,2024-01-21 23:12:00</t>
  </si>
  <si>
    <t>5751,143,AMZN,884.84,SELL,2024-03-04 10:10:00</t>
  </si>
  <si>
    <t>4669,419,TSLA,953.25,BUY,2024-03-12 20:43:00</t>
  </si>
  <si>
    <t>6298,254,TSLA,738.76,SELL,2024-02-06 14:33:00</t>
  </si>
  <si>
    <t>4168,351,META,492.21,SELL,2024-02-07 20:22:00</t>
  </si>
  <si>
    <t>9952,619,AMZN,811.67,SELL,2024-01-18 13:04:00</t>
  </si>
  <si>
    <t>1691,234,TSLA,342.46,BUY,2024-01-14 19:03:00</t>
  </si>
  <si>
    <t>5258,174,MSFT,430.22,BUY,2024-03-20 09:41:00</t>
  </si>
  <si>
    <t>2941,591,META,256.15,BUY,2024-04-05 17:09:00</t>
  </si>
  <si>
    <t>2941,162,META,191.44,BUY,2024-04-01 12:57:00</t>
  </si>
  <si>
    <t>7531,953,TSLA,724.59,SELL,2024-03-08 22:50:00</t>
  </si>
  <si>
    <t>2941,928,TSLA,468.8,BUY,2024-05-21 07:49:00</t>
  </si>
  <si>
    <t>6298,87,TSLA,892.2,BUY,2024-05-15 16:46:00</t>
  </si>
  <si>
    <t>9094,288,META,277.99,BUY,2024-02-28 10:52:00</t>
  </si>
  <si>
    <t>5297,898,META,479.32,SELL,2024-02-05 14:42:00</t>
  </si>
  <si>
    <t>4168,336,TSLA,773.51,BUY,2024-04-12 00:31:00</t>
  </si>
  <si>
    <t>5258,943,AMZN,565.47,BUY,2024-03-06 00:50:00</t>
  </si>
  <si>
    <t>9094,748,TSLA,836.92,BUY,2024-02-26 05:41:00</t>
  </si>
  <si>
    <t>9094,209,META,862.77,BUY,2024-05-21 15:50:00</t>
  </si>
  <si>
    <t>5258,974,AMZN,638.67,SELL,2024-01-08 08:02:00</t>
  </si>
  <si>
    <t>4710,915,MSFT,701.29,SELL,2024-01-02 13:07:00</t>
  </si>
  <si>
    <t>5297,334,MSFT,728.71,BUY,2024-04-23 07:06:00</t>
  </si>
  <si>
    <t>7531,576,MSFT,900.46,SELL,2024-01-16 12:34:00</t>
  </si>
  <si>
    <t>5297,38,TSLA,742.41,SELL,2024-04-11 09:38:00</t>
  </si>
  <si>
    <t>5297,24,META,157.68,SELL,2024-03-19 11:17:00</t>
  </si>
  <si>
    <t>7922,401,MSFT,209.17,SELL,2024-02-23 13:25:00</t>
  </si>
  <si>
    <t>5705,277,META,537.81,SELL,2024-05-25 04:30:00</t>
  </si>
  <si>
    <t>5297,79,TSLA,272.17,BUY,2024-03-08 13:04:00</t>
  </si>
  <si>
    <t>5751,975,MSFT,610.09,SELL,2024-01-04 22:55:00</t>
  </si>
  <si>
    <t>2941,160,MSFT,822.12,SELL,2024-04-29 08:21:00</t>
  </si>
  <si>
    <t>4168,953,MSFT,379.96,BUY,2024-02-16 08:46:00</t>
  </si>
  <si>
    <t>1691,433,MSFT,904.38,BUY,2024-02-08 09:24:00</t>
  </si>
  <si>
    <t>4710,514,TSLA,331.17,BUY,2024-04-24 23:05:00</t>
  </si>
  <si>
    <t>1691,966,META,758.25,SELL,2024-02-26 20:52:00</t>
  </si>
  <si>
    <t>5297,995,META,553.68,SELL,2024-01-30 15:59:00</t>
  </si>
  <si>
    <t>7922,423,TSLA,749.92,BUY,2024-03-13 04:52:00</t>
  </si>
  <si>
    <t>7531,776,META,175.79,SELL,2024-01-22 15:01:00</t>
  </si>
  <si>
    <t>7531,345,MSFT,224.25,SELL,2024-02-22 13:27:00</t>
  </si>
  <si>
    <t>6298,588,META,805.71,BUY,2024-02-26 20:31:00</t>
  </si>
  <si>
    <t>7938,260,AMZN,650.26,SELL,2024-02-22 00:29:00</t>
  </si>
  <si>
    <t>9952,480,META,357.05,SELL,2024-03-20 13:15:00</t>
  </si>
  <si>
    <t>7938,979,TSLA,275.71,BUY,2024-01-15 09:24:00</t>
  </si>
  <si>
    <t>5297,797,MSFT,397.15,BUY,2024-01-01 12:10:00</t>
  </si>
  <si>
    <t>5297,983,AMZN,295.25,SELL,2024-04-11 06:54:00</t>
  </si>
  <si>
    <t>9094,996,AMZN,379.8,SELL,2024-05-24 03:01:00</t>
  </si>
  <si>
    <t>6298,588,MSFT,321.23,BUY,2024-04-10 13:57:00</t>
  </si>
  <si>
    <t>4168,299,MSFT,690.97,SELL,2024-04-02 22:26:00</t>
  </si>
  <si>
    <t>5705,421,MSFT,408.26,SELL,2024-04-26 07:03:00</t>
  </si>
  <si>
    <t>9952,451,META,640.11,SELL,2024-04-02 18:06:00</t>
  </si>
  <si>
    <t>6298,106,MSFT,976.4,BUY,2024-05-11 20:46:00</t>
  </si>
  <si>
    <t>2941,719,MSFT,458.51,SELL,2024-02-01 18:28:00</t>
  </si>
  <si>
    <t>4669,843,META,701.45,BUY,2024-05-05 08:34:00</t>
  </si>
  <si>
    <t>9094,962,META,996.68,BUY,2024-04-03 03:33:00</t>
  </si>
  <si>
    <t>4669,961,TSLA,909.49,BUY,2024-02-21 13:32:00</t>
  </si>
  <si>
    <t>7531,801,MSFT,406.24,BUY,2024-03-25 16:22:00</t>
  </si>
  <si>
    <t>4669,752,MSFT,966.7,BUY,2024-04-20 16:49:00</t>
  </si>
  <si>
    <t>9094,657,TSLA,370.78,SELL,2024-03-03 20:50:00</t>
  </si>
  <si>
    <t>1691,564,MSFT,296.78,BUY,2024-05-11 22:47:00</t>
  </si>
  <si>
    <t>7531,64,MSFT,262.46,SELL,2024-04-16 13:51:00</t>
  </si>
  <si>
    <t>4710,129,TSLA,426.91,BUY,2024-02-13 01:01:00</t>
  </si>
  <si>
    <t>6298,312,TSLA,816.95,SELL,2024-04-28 07:09:00</t>
  </si>
  <si>
    <t>7531,789,TSLA,374.97,SELL,2024-05-14 10:52:00</t>
  </si>
  <si>
    <t>5705,764,AMZN,196.22,BUY,2024-03-02 04:15:00</t>
  </si>
  <si>
    <t>6298,338,MSFT,391.28,BUY,2024-05-29 14:16:00</t>
  </si>
  <si>
    <t>1691,270,TSLA,531.72,SELL,2024-02-24 08:42:00</t>
  </si>
  <si>
    <t>6298,859,TSLA,812.28,BUY,2024-02-23 15:24:00</t>
  </si>
  <si>
    <t>2941,93,TSLA,727.16,SELL,2024-05-29 09:00:00</t>
  </si>
  <si>
    <t>5297,169,META,555.97,BUY,2024-01-09 02:15:00</t>
  </si>
  <si>
    <t>9952,325,AMZN,955.83,BUY,2024-05-25 14:52:00</t>
  </si>
  <si>
    <t>6298,342,TSLA,810.98,BUY,2024-05-20 01:49:00</t>
  </si>
  <si>
    <t>5705,410,AMZN,928.34,SELL,2024-04-23 19:44:00</t>
  </si>
  <si>
    <t>7938,5,META,666.91,BUY,2024-05-17 16:35:00</t>
  </si>
  <si>
    <t>5751,41,MSFT,703.14,BUY,2024-03-06 19:30:00</t>
  </si>
  <si>
    <t>4168,954,META,947.25,BUY,2024-02-04 06:45:00</t>
  </si>
  <si>
    <t>5751,433,AMZN,629.49,SELL,2024-01-10 01:27:00</t>
  </si>
  <si>
    <t>9952,847,TSLA,745.25,BUY,2024-01-22 15:10:00</t>
  </si>
  <si>
    <t>7938,980,TSLA,808.79,SELL,2024-03-29 08:06:00</t>
  </si>
  <si>
    <t>9094,540,MSFT,768.55,BUY,2024-02-28 11:10:00</t>
  </si>
  <si>
    <t>5705,757,AMZN,419.8,BUY,2024-03-08 16:02:00</t>
  </si>
  <si>
    <t>6298,667,MSFT,924.47,BUY,2024-01-14 21:14:00</t>
  </si>
  <si>
    <t>5297,757,TSLA,450.97,BUY,2024-04-21 16:38:00</t>
  </si>
  <si>
    <t>9952,276,AMZN,338.84,BUY,2024-05-26 16:00:00</t>
  </si>
  <si>
    <t>5705,894,MSFT,456.12,BUY,2024-03-01 15:57:00</t>
  </si>
  <si>
    <t>5751,635,TSLA,428.89,BUY,2024-03-13 00:20:00</t>
  </si>
  <si>
    <t>5705,389,TSLA,683.41,SELL,2024-04-26 12:38:00</t>
  </si>
  <si>
    <t>1691,943,AMZN,380.98,SELL,2024-02-04 12:00:00</t>
  </si>
  <si>
    <t>5258,851,TSLA,953.12,SELL,2024-04-25 08:39:00</t>
  </si>
  <si>
    <t>4710,208,TSLA,813.91,BUY,2024-03-14 04:51:00</t>
  </si>
  <si>
    <t>5258,442,MSFT,343.45,SELL,2024-01-23 12:08:00</t>
  </si>
  <si>
    <t>4669,591,AMZN,107.84,SELL,2024-03-30 09:00:00</t>
  </si>
  <si>
    <t>1691,695,MSFT,877.93,BUY,2024-01-11 05:07:00</t>
  </si>
  <si>
    <t>4710,306,META,505.17,BUY,2024-03-22 22:15:00</t>
  </si>
  <si>
    <t>7938,200,AMZN,545.12,BUY,2024-02-14 09:00:00</t>
  </si>
  <si>
    <t>7938,657,MSFT,384.99,SELL,2024-01-13 07:18:00</t>
  </si>
  <si>
    <t>4168,614,TSLA,375.34,BUY,2024-02-27 23:01:00</t>
  </si>
  <si>
    <t>2941,635,META,211.66,SELL,2024-01-01 03:09:00</t>
  </si>
  <si>
    <t>4710,697,META,852.59,SELL,2024-05-08 12:30:00</t>
  </si>
  <si>
    <t>9094,158,META,353.62,SELL,2024-05-01 15:50:00</t>
  </si>
  <si>
    <t>7922,327,AMZN,411.79,BUY,2024-05-19 08:17:00</t>
  </si>
  <si>
    <t>9094,529,MSFT,276.42,SELL,2024-05-01 22:48:00</t>
  </si>
  <si>
    <t>1691,487,META,523.7,SELL,2024-03-08 06:03:00</t>
  </si>
  <si>
    <t>6298,385,MSFT,219.42,BUY,2024-02-09 06:00:00</t>
  </si>
  <si>
    <t>2941,939,MSFT,980.26,SELL,2024-01-16 02:20:00</t>
  </si>
  <si>
    <t>5705,682,AMZN,639.16,SELL,2024-03-30 07:03:00</t>
  </si>
  <si>
    <t>2941,60,MSFT,203.59,SELL,2024-03-03 22:23:00</t>
  </si>
  <si>
    <t>5258,364,MSFT,565.67,SELL,2024-01-18 12:03:00</t>
  </si>
  <si>
    <t>7922,734,TSLA,682.61,BUY,2024-01-03 17:14:00</t>
  </si>
  <si>
    <t>9094,293,TSLA,255.31,BUY,2024-04-30 07:18:00</t>
  </si>
  <si>
    <t>9094,299,AMZN,157.55,BUY,2024-03-01 04:07:00</t>
  </si>
  <si>
    <t>7531,262,MSFT,203.32,BUY,2024-01-20 15:53:00</t>
  </si>
  <si>
    <t>9952,238,MSFT,644.44,SELL,2024-01-03 11:05:00</t>
  </si>
  <si>
    <t>5705,776,TSLA,569.59,BUY,2024-05-21 08:39:00</t>
  </si>
  <si>
    <t>4168,489,AMZN,891.36,SELL,2024-05-13 23:01:00</t>
  </si>
  <si>
    <t>6298,53,AMZN,315.46,SELL,2024-02-13 08:59:00</t>
  </si>
  <si>
    <t>5751,491,TSLA,652.18,SELL,2024-04-21 19:48:00</t>
  </si>
  <si>
    <t>4669,222,MSFT,989.03,BUY,2024-04-23 00:39:00</t>
  </si>
  <si>
    <t>2941,535,META,588.38,SELL,2024-01-30 11:28:00</t>
  </si>
  <si>
    <t>5705,470,TSLA,740.72,SELL,2024-03-26 03:24:00</t>
  </si>
  <si>
    <t>5705,608,TSLA,599.29,BUY,2024-01-26 19:49:00</t>
  </si>
  <si>
    <t>9094,237,TSLA,347.92,SELL,2024-01-19 20:46:00</t>
  </si>
  <si>
    <t>7531,290,TSLA,347.07,SELL,2024-03-29 15:46:00</t>
  </si>
  <si>
    <t>5751,65,META,636.72,BUY,2024-02-15 00:58:00</t>
  </si>
  <si>
    <t>7922,554,META,336.88,SELL,2024-02-09 09:17:00</t>
  </si>
  <si>
    <t>4669,659,META,956.33,SELL,2024-03-04 15:46:00</t>
  </si>
  <si>
    <t>5297,569,META,735.95,BUY,2024-01-13 06:14:00</t>
  </si>
  <si>
    <t>5751,691,AMZN,326.08,BUY,2024-02-09 10:06:00</t>
  </si>
  <si>
    <t>4168,125,MSFT,961.63,SELL,2024-02-10 15:44:00</t>
  </si>
  <si>
    <t>4168,380,META,723.32,SELL,2024-03-18 12:34:00</t>
  </si>
  <si>
    <t>1691,545,AMZN,998.39,BUY,2024-03-05 15:40:00</t>
  </si>
  <si>
    <t>5751,415,META,644.89,BUY,2024-03-14 06:54:00</t>
  </si>
  <si>
    <t>1691,140,META,768.52,BUY,2024-05-07 22:56:00</t>
  </si>
  <si>
    <t>5751,357,AMZN,936.33,BUY,2024-04-03 14:09:00</t>
  </si>
  <si>
    <t>2941,527,META,909.56,SELL,2024-05-16 16:42:00</t>
  </si>
  <si>
    <t>4168,935,META,500.21,BUY,2024-02-01 11:57:00</t>
  </si>
  <si>
    <t>9094,733,META,630.29,SELL,2024-04-21 09:49:00</t>
  </si>
  <si>
    <t>5751,203,AMZN,135.85,BUY,2024-02-29 09:02:00</t>
  </si>
  <si>
    <t>6298,158,META,283.98,SELL,2024-03-10 17:24:00</t>
  </si>
  <si>
    <t>4669,703,META,908.65,SELL,2024-03-14 18:36:00</t>
  </si>
  <si>
    <t>5751,18,MSFT,360.96,SELL,2024-02-01 14:57:00</t>
  </si>
  <si>
    <t>4669,263,AMZN,414.67,SELL,2024-01-31 03:38:00</t>
  </si>
  <si>
    <t>7531,125,AMZN,710.05,BUY,2024-03-15 09:49:00</t>
  </si>
  <si>
    <t>9094,238,MSFT,496.65,BUY,2024-02-13 07:31:00</t>
  </si>
  <si>
    <t>9952,567,META,952.31,BUY,2024-04-21 03:18:00</t>
  </si>
  <si>
    <t>4168,53,AMZN,832.58,SELL,2024-04-19 01:05:00</t>
  </si>
  <si>
    <t>7938,281,MSFT,569.1,SELL,2024-03-12 07:26:00</t>
  </si>
  <si>
    <t>4168,619,AMZN,172.35,SELL,2024-01-23 06:07:00</t>
  </si>
  <si>
    <t>6298,311,MSFT,320.7,SELL,2024-01-14 15:34:00</t>
  </si>
  <si>
    <t>1691,817,META,844.46,BUY,2024-03-25 10:12:00</t>
  </si>
  <si>
    <t>6298,508,AMZN,997.18,SELL,2024-03-24 10:42:00</t>
  </si>
  <si>
    <t>5258,972,AMZN,718.65,SELL,2024-05-30 21:52:00</t>
  </si>
  <si>
    <t>2941,50,MSFT,142.96,SELL,2024-05-13 00:09:00</t>
  </si>
  <si>
    <t>9952,372,META,962.61,SELL,2024-02-12 11:11:00</t>
  </si>
  <si>
    <t>9094,501,META,846.78,SELL,2024-02-01 06:39:00</t>
  </si>
  <si>
    <t>4168,725,META,668.0,SELL,2024-05-24 01:15:00</t>
  </si>
  <si>
    <t>5258,551,AMZN,294.95,BUY,2024-02-18 06:17:00</t>
  </si>
  <si>
    <t>4168,211,MSFT,720.16,BUY,2024-01-27 12:18:00</t>
  </si>
  <si>
    <t>4669,100,META,771.01,SELL,2024-05-12 05:23:00</t>
  </si>
  <si>
    <t>7531,939,AMZN,966.77,SELL,2024-02-05 04:27:00</t>
  </si>
  <si>
    <t>4710,677,META,962.49,BUY,2024-05-15 16:17:00</t>
  </si>
  <si>
    <t>7922,956,META,504.94,SELL,2024-03-25 02:55:00</t>
  </si>
  <si>
    <t>9094,813,AMZN,432.04,SELL,2024-03-30 12:41:00</t>
  </si>
  <si>
    <t>5751,910,META,847.54,SELL,2024-04-26 20:29:00</t>
  </si>
  <si>
    <t>4168,764,AMZN,137.48,SELL,2024-04-05 09:35:00</t>
  </si>
  <si>
    <t>5258,776,AMZN,772.68,BUY,2024-03-17 20:07:00</t>
  </si>
  <si>
    <t>5297,263,MSFT,237.47,SELL,2024-04-05 18:29:00</t>
  </si>
  <si>
    <t>7922,878,META,136.19,BUY,2024-04-19 07:26:00</t>
  </si>
  <si>
    <t>5258,619,TSLA,873.64,BUY,2024-04-07 16:13:00</t>
  </si>
  <si>
    <t>1691,982,AMZN,878.28,SELL,2024-04-01 00:15:00</t>
  </si>
  <si>
    <t>4168,331,MSFT,200.83,BUY,2024-02-16 22:08:00</t>
  </si>
  <si>
    <t>4669,990,AMZN,575.82,BUY,2024-05-30 02:23:00</t>
  </si>
  <si>
    <t>7531,2,AMZN,845.41,SELL,2024-05-21 04:07:00</t>
  </si>
  <si>
    <t>4669,288,MSFT,386.46,BUY,2024-05-29 23:35:00</t>
  </si>
  <si>
    <t>9952,803,AMZN,860.04,SELL,2024-02-18 09:23:00</t>
  </si>
  <si>
    <t>5705,644,MSFT,126.02,SELL,2024-04-18 20:21:00</t>
  </si>
  <si>
    <t>5705,372,MSFT,556.06,SELL,2024-01-25 16:44:00</t>
  </si>
  <si>
    <t>7531,863,AMZN,605.56,SELL,2024-04-17 04:16:00</t>
  </si>
  <si>
    <t>4710,786,META,434.7,SELL,2024-04-01 01:02:00</t>
  </si>
  <si>
    <t>9952,354,TSLA,803.15,BUY,2024-02-03 06:58:00</t>
  </si>
  <si>
    <t>4168,303,AMZN,896.51,BUY,2024-04-12 12:45:00</t>
  </si>
  <si>
    <t>7922,680,META,811.65,SELL,2024-03-22 03:55:00</t>
  </si>
  <si>
    <t>5705,114,META,483.07,SELL,2024-01-23 22:49:00</t>
  </si>
  <si>
    <t>7922,966,META,530.3,BUY,2024-05-30 02:38:00</t>
  </si>
  <si>
    <t>7938,236,TSLA,411.94,BUY,2024-05-08 08:38:00</t>
  </si>
  <si>
    <t>5258,747,MSFT,623.85,SELL,2024-03-02 23:55:00</t>
  </si>
  <si>
    <t>5751,420,MSFT,130.0,SELL,2024-01-12 05:25:00</t>
  </si>
  <si>
    <t>5258,266,TSLA,451.35,SELL,2024-03-01 06:52:00</t>
  </si>
  <si>
    <t>7922,899,META,329.31,BUY,2024-04-07 20:58:00</t>
  </si>
  <si>
    <t>5258,529,MSFT,574.87,SELL,2024-01-23 05:33:00</t>
  </si>
  <si>
    <t>7531,134,TSLA,354.86,SELL,2024-02-03 08:29:00</t>
  </si>
  <si>
    <t>6298,373,META,876.08,BUY,2024-03-31 14:15:00</t>
  </si>
  <si>
    <t>7531,285,AMZN,955.91,BUY,2024-03-07 06:17:00</t>
  </si>
  <si>
    <t>5297,404,AMZN,586.99,SELL,2024-05-16 04:10:00</t>
  </si>
  <si>
    <t>5258,68,MSFT,126.23,BUY,2024-05-18 08:26:00</t>
  </si>
  <si>
    <t>4669,281,AMZN,281.5,SELL,2024-04-08 17:16:00</t>
  </si>
  <si>
    <t>4710,175,MSFT,332.52,SELL,2024-03-13 20:39:00</t>
  </si>
  <si>
    <t>5258,625,MSFT,159.09,SELL,2024-04-17 10:30:00</t>
  </si>
  <si>
    <t>5258,760,META,936.69,BUY,2024-03-23 05:23:00</t>
  </si>
  <si>
    <t>6298,311,MSFT,885.56,BUY,2024-03-10 16:32:00</t>
  </si>
  <si>
    <t>4710,748,MSFT,878.85,SELL,2024-03-16 01:42:00</t>
  </si>
  <si>
    <t>4669,471,TSLA,734.01,SELL,2024-03-11 03:08:00</t>
  </si>
  <si>
    <t>6298,984,MSFT,601.05,SELL,2024-02-04 17:21:00</t>
  </si>
  <si>
    <t>6298,294,TSLA,219.6,BUY,2024-04-07 16:38:00</t>
  </si>
  <si>
    <t>5258,555,AMZN,812.01,SELL,2024-01-31 23:20:00</t>
  </si>
  <si>
    <t>9094,589,META,410.11,SELL,2024-01-31 21:31:00</t>
  </si>
  <si>
    <t>5258,715,AMZN,480.34,SELL,2024-02-03 11:26:00</t>
  </si>
  <si>
    <t>6298,70,META,943.45,BUY,2024-04-01 18:47:00</t>
  </si>
  <si>
    <t>2941,877,MSFT,256.16,BUY,2024-04-19 13:52:00</t>
  </si>
  <si>
    <t>2941,619,AMZN,943.86,BUY,2024-03-17 10:31:00</t>
  </si>
  <si>
    <t>5297,381,AMZN,888.51,BUY,2024-05-12 03:23:00</t>
  </si>
  <si>
    <t>7938,199,META,988.31,BUY,2024-02-25 11:12:00</t>
  </si>
  <si>
    <t>2941,501,MSFT,526.68,SELL,2024-05-04 01:40:00</t>
  </si>
  <si>
    <t>5751,635,META,406.63,SELL,2024-04-20 22:57:00</t>
  </si>
  <si>
    <t>9952,805,META,192.06,BUY,2024-01-03 19:02:00</t>
  </si>
  <si>
    <t>9094,393,MSFT,218.56,SELL,2024-02-14 04:36:00</t>
  </si>
  <si>
    <t>5751,219,META,342.12,BUY,2024-02-13 21:27:00</t>
  </si>
  <si>
    <t>9952,721,META,377.22,BUY,2024-02-08 03:47:00</t>
  </si>
  <si>
    <t>4168,693,MSFT,617.86,BUY,2024-02-07 20:39:00</t>
  </si>
  <si>
    <t>7531,279,AMZN,963.4,SELL,2024-02-13 07:39:00</t>
  </si>
  <si>
    <t>5297,629,AMZN,688.39,BUY,2024-04-18 22:11:00</t>
  </si>
  <si>
    <t>5297,56,TSLA,804.29,BUY,2024-05-18 01:58:00</t>
  </si>
  <si>
    <t>7531,356,AMZN,390.49,BUY,2024-02-03 06:54:00</t>
  </si>
  <si>
    <t>5751,821,MSFT,385.22,BUY,2024-02-23 12:52:00</t>
  </si>
  <si>
    <t>9094,439,MSFT,109.96,SELL,2024-05-07 10:37:00</t>
  </si>
  <si>
    <t>9094,710,TSLA,113.05,BUY,2024-02-05 16:30:00</t>
  </si>
  <si>
    <t>6298,398,MSFT,227.55,SELL,2024-03-15 13:57:00</t>
  </si>
  <si>
    <t>1691,298,MSFT,513.01,SELL,2024-02-26 01:22:00</t>
  </si>
  <si>
    <t>9094,685,AMZN,411.63,BUY,2024-04-20 02:54:00</t>
  </si>
  <si>
    <t>6298,539,TSLA,226.38,SELL,2024-04-17 03:48:00</t>
  </si>
  <si>
    <t>2941,943,TSLA,195.4,BUY,2024-04-20 09:44:00</t>
  </si>
  <si>
    <t>7531,437,AMZN,963.35,SELL,2024-02-03 23:08:00</t>
  </si>
  <si>
    <t>6298,775,AMZN,998.02,BUY,2024-01-10 05:01:00</t>
  </si>
  <si>
    <t>6298,718,AMZN,593.98,SELL,2024-04-25 22:50:00</t>
  </si>
  <si>
    <t>4710,368,META,505.54,BUY,2024-02-05 14:11:00</t>
  </si>
  <si>
    <t>2941,835,META,100.57,SELL,2024-05-17 01:42:00</t>
  </si>
  <si>
    <t>4168,982,TSLA,247.18,BUY,2024-05-23 10:13:00</t>
  </si>
  <si>
    <t>5297,278,AMZN,987.06,SELL,2024-04-30 06:12:00</t>
  </si>
  <si>
    <t>7938,157,AMZN,529.09,BUY,2024-05-09 11:48:00</t>
  </si>
  <si>
    <t>4669,946,AMZN,203.28,BUY,2024-03-25 22:10:00</t>
  </si>
  <si>
    <t>9094,482,TSLA,765.93,SELL,2024-05-11 03:43:00</t>
  </si>
  <si>
    <t>6298,692,TSLA,465.72,BUY,2024-02-17 14:10:00</t>
  </si>
  <si>
    <t>5705,635,AMZN,109.84,BUY,2024-04-18 05:29:00</t>
  </si>
  <si>
    <t>7922,438,META,654.68,BUY,2024-02-29 02:48:00</t>
  </si>
  <si>
    <t>7938,458,META,665.06,SELL,2024-05-19 12:49:00</t>
  </si>
  <si>
    <t>6298,614,MSFT,687.06,SELL,2024-04-13 18:00:00</t>
  </si>
  <si>
    <t>4710,388,MSFT,449.38,BUY,2024-02-26 09:14:00</t>
  </si>
  <si>
    <t>7938,1000,META,350.72,SELL,2024-02-19 02:28:00</t>
  </si>
  <si>
    <t>5751,195,TSLA,699.07,SELL,2024-01-10 11:57:00</t>
  </si>
  <si>
    <t>5751,927,META,124.84,BUY,2024-01-05 04:35:00</t>
  </si>
  <si>
    <t>4168,824,MSFT,623.4,SELL,2024-03-25 16:29:00</t>
  </si>
  <si>
    <t>5751,927,MSFT,765.99,SELL,2024-05-17 00:05:00</t>
  </si>
  <si>
    <t>4710,980,META,332.94,SELL,2024-01-03 02:00:00</t>
  </si>
  <si>
    <t>5258,550,MSFT,325.99,BUY,2024-04-20 10:08:00</t>
  </si>
  <si>
    <t>7531,95,MSFT,102.06,BUY,2024-05-28 19:31:00</t>
  </si>
  <si>
    <t>5705,574,META,648.12,BUY,2024-01-05 19:38:00</t>
  </si>
  <si>
    <t>9952,704,META,740.46,BUY,2024-01-06 05:18:00</t>
  </si>
  <si>
    <t>6298,86,TSLA,558.5,SELL,2024-05-10 06:44:00</t>
  </si>
  <si>
    <t>1691,779,MSFT,224.37,SELL,2024-03-23 09:38:00</t>
  </si>
  <si>
    <t>9952,533,TSLA,856.48,SELL,2024-03-06 21:08:00</t>
  </si>
  <si>
    <t>5258,516,MSFT,932.37,SELL,2024-03-09 21:06:00</t>
  </si>
  <si>
    <t>1691,655,TSLA,188.15,SELL,2024-05-23 21:47:00</t>
  </si>
  <si>
    <t>4669,445,MSFT,394.57,SELL,2024-05-25 01:44:00</t>
  </si>
  <si>
    <t>5705,754,MSFT,185.3,BUY,2024-01-07 14:24:00</t>
  </si>
  <si>
    <t>6298,751,MSFT,311.14,BUY,2024-05-27 20:57:00</t>
  </si>
  <si>
    <t>4710,101,TSLA,250.48,BUY,2024-01-01 04:59:00</t>
  </si>
  <si>
    <t>6298,512,MSFT,137.19,BUY,2024-05-17 12:50:00</t>
  </si>
  <si>
    <t>5258,341,MSFT,512.37,SELL,2024-04-22 04:01:00</t>
  </si>
  <si>
    <t>7922,217,AMZN,738.44,BUY,2024-01-20 07:12:00</t>
  </si>
  <si>
    <t>6298,788,META,404.81,SELL,2024-02-25 23:05:00</t>
  </si>
  <si>
    <t>5705,806,MSFT,877.8,BUY,2024-03-16 22:44:00</t>
  </si>
  <si>
    <t>1691,951,MSFT,872.35,BUY,2024-03-14 21:05:00</t>
  </si>
  <si>
    <t>4669,531,TSLA,738.09,BUY,2024-03-17 06:00:00</t>
  </si>
  <si>
    <t>7531,878,MSFT,157.63,SELL,2024-02-10 12:32:00</t>
  </si>
  <si>
    <t>7938,898,META,840.35,BUY,2024-01-21 18:54:00</t>
  </si>
  <si>
    <t>9094,746,TSLA,280.56,BUY,2024-05-21 14:03:00</t>
  </si>
  <si>
    <t>5297,213,TSLA,725.67,SELL,2024-02-15 22:05:00</t>
  </si>
  <si>
    <t>9952,538,META,993.45,SELL,2024-02-12 12:31:00</t>
  </si>
  <si>
    <t>6298,81,META,946.21,BUY,2024-05-30 10:14:00</t>
  </si>
  <si>
    <t>5751,90,META,743.23,SELL,2024-05-30 21:20:00</t>
  </si>
  <si>
    <t>4168,837,TSLA,961.99,SELL,2024-04-14 17:22:00</t>
  </si>
  <si>
    <t>5705,696,META,246.95,BUY,2024-01-25 01:05:00</t>
  </si>
  <si>
    <t>9952,245,MSFT,938.69,SELL,2024-05-19 13:50:00</t>
  </si>
  <si>
    <t>6298,91,META,492.31,SELL,2024-02-18 02:34:00</t>
  </si>
  <si>
    <t>9952,368,TSLA,263.44,SELL,2024-02-16 21:18:00</t>
  </si>
  <si>
    <t>5258,838,MSFT,842.67,SELL,2024-03-07 00:30:00</t>
  </si>
  <si>
    <t>9952,449,META,778.09,BUY,2024-05-13 13:35:00</t>
  </si>
  <si>
    <t>7922,964,AMZN,131.7,SELL,2024-03-13 11:44:00</t>
  </si>
  <si>
    <t>7531,155,MSFT,348.47,SELL,2024-04-24 11:50:00</t>
  </si>
  <si>
    <t>6298,5,META,948.76,BUY,2024-04-01 02:57:00</t>
  </si>
  <si>
    <t>5705,486,META,623.67,BUY,2024-05-30 16:16:00</t>
  </si>
  <si>
    <t>2941,438,TSLA,728.59,BUY,2024-02-08 09:36:00</t>
  </si>
  <si>
    <t>5751,40,MSFT,355.56,BUY,2024-03-01 19:36:00</t>
  </si>
  <si>
    <t>9094,201,MSFT,393.97,SELL,2024-03-09 20:44:00</t>
  </si>
  <si>
    <t>4669,911,AMZN,656.53,BUY,2024-05-07 19:40:00</t>
  </si>
  <si>
    <t>1691,773,MSFT,446.79,SELL,2024-02-22 10:10:00</t>
  </si>
  <si>
    <t>7531,505,META,926.23,SELL,2024-05-17 04:43:00</t>
  </si>
  <si>
    <t>5751,682,META,606.37,BUY,2024-04-12 22:25:00</t>
  </si>
  <si>
    <t>1691,65,TSLA,670.62,SELL,2024-05-27 12:34:00</t>
  </si>
  <si>
    <t>2941,275,TSLA,997.35,SELL,2024-04-05 11:13:00</t>
  </si>
  <si>
    <t>5258,785,AMZN,578.38,BUY,2024-02-07 03:10:00</t>
  </si>
  <si>
    <t>4669,680,META,692.58,SELL,2024-01-31 07:28:00</t>
  </si>
  <si>
    <t>4168,895,MSFT,348.33,SELL,2024-05-18 06:15:00</t>
  </si>
  <si>
    <t>7531,434,META,839.58,SELL,2024-05-09 08:13:00</t>
  </si>
  <si>
    <t>7922,614,AMZN,907.59,SELL,2024-02-28 07:56:00</t>
  </si>
  <si>
    <t>7531,601,AMZN,109.53,SELL,2024-02-17 05:58:00</t>
  </si>
  <si>
    <t>7938,175,META,435.44,SELL,2024-01-16 23:27:00</t>
  </si>
  <si>
    <t>6298,946,MSFT,538.36,BUY,2024-05-27 02:15:00</t>
  </si>
  <si>
    <t>id_cliente</t>
  </si>
  <si>
    <t>volume</t>
  </si>
  <si>
    <t>ticker</t>
  </si>
  <si>
    <t>prezzo</t>
  </si>
  <si>
    <t>operazione</t>
  </si>
  <si>
    <t>timestamp</t>
  </si>
  <si>
    <t>TSLA</t>
  </si>
  <si>
    <t>362.2</t>
  </si>
  <si>
    <t>SELL</t>
  </si>
  <si>
    <t>META</t>
  </si>
  <si>
    <t>510.4</t>
  </si>
  <si>
    <t>565.97</t>
  </si>
  <si>
    <t>AMZN</t>
  </si>
  <si>
    <t>136.06</t>
  </si>
  <si>
    <t>BUY</t>
  </si>
  <si>
    <t>MSFT</t>
  </si>
  <si>
    <t>824.07</t>
  </si>
  <si>
    <t>332.56</t>
  </si>
  <si>
    <t>399.97</t>
  </si>
  <si>
    <t>452.08</t>
  </si>
  <si>
    <t>329.33</t>
  </si>
  <si>
    <t>283.62</t>
  </si>
  <si>
    <t>140.36</t>
  </si>
  <si>
    <t>399.04</t>
  </si>
  <si>
    <t>750.24</t>
  </si>
  <si>
    <t>969.26</t>
  </si>
  <si>
    <t>408.09</t>
  </si>
  <si>
    <t>922.39</t>
  </si>
  <si>
    <t>806.26</t>
  </si>
  <si>
    <t>119.97</t>
  </si>
  <si>
    <t>413.82</t>
  </si>
  <si>
    <t>948.6</t>
  </si>
  <si>
    <t>515.17</t>
  </si>
  <si>
    <t>181.3</t>
  </si>
  <si>
    <t>445.17</t>
  </si>
  <si>
    <t>664.63</t>
  </si>
  <si>
    <t>386.12</t>
  </si>
  <si>
    <t>700.33</t>
  </si>
  <si>
    <t>383.0</t>
  </si>
  <si>
    <t>578.31</t>
  </si>
  <si>
    <t>290.65</t>
  </si>
  <si>
    <t>975.13</t>
  </si>
  <si>
    <t>166.88</t>
  </si>
  <si>
    <t>450.45</t>
  </si>
  <si>
    <t>203.55</t>
  </si>
  <si>
    <t>809.66</t>
  </si>
  <si>
    <t>514.75</t>
  </si>
  <si>
    <t>104.05</t>
  </si>
  <si>
    <t>808.15</t>
  </si>
  <si>
    <t>962.77</t>
  </si>
  <si>
    <t>782.52</t>
  </si>
  <si>
    <t>520.88</t>
  </si>
  <si>
    <t>395.0</t>
  </si>
  <si>
    <t>851.97</t>
  </si>
  <si>
    <t>775.08</t>
  </si>
  <si>
    <t>750.49</t>
  </si>
  <si>
    <t>681.87</t>
  </si>
  <si>
    <t>376.4</t>
  </si>
  <si>
    <t>365.78</t>
  </si>
  <si>
    <t>118.13</t>
  </si>
  <si>
    <t>572.53</t>
  </si>
  <si>
    <t>642.09</t>
  </si>
  <si>
    <t>360.31</t>
  </si>
  <si>
    <t>200.37</t>
  </si>
  <si>
    <t>811.67</t>
  </si>
  <si>
    <t>276.17</t>
  </si>
  <si>
    <t>411.82</t>
  </si>
  <si>
    <t>632.45</t>
  </si>
  <si>
    <t>977.89</t>
  </si>
  <si>
    <t>393.14</t>
  </si>
  <si>
    <t>353.19</t>
  </si>
  <si>
    <t>471.25</t>
  </si>
  <si>
    <t>639.44</t>
  </si>
  <si>
    <t>785.92</t>
  </si>
  <si>
    <t>666.09</t>
  </si>
  <si>
    <t>380.02</t>
  </si>
  <si>
    <t>386.75</t>
  </si>
  <si>
    <t>952.52</t>
  </si>
  <si>
    <t>808.49</t>
  </si>
  <si>
    <t>207.61</t>
  </si>
  <si>
    <t>191.14</t>
  </si>
  <si>
    <t>981.87</t>
  </si>
  <si>
    <t>975.01</t>
  </si>
  <si>
    <t>362.01</t>
  </si>
  <si>
    <t>503.32</t>
  </si>
  <si>
    <t>134.91</t>
  </si>
  <si>
    <t>926.13</t>
  </si>
  <si>
    <t>311.81</t>
  </si>
  <si>
    <t>554.43</t>
  </si>
  <si>
    <t>718.55</t>
  </si>
  <si>
    <t>341.72</t>
  </si>
  <si>
    <t>150.05</t>
  </si>
  <si>
    <t>453.81</t>
  </si>
  <si>
    <t>619.22</t>
  </si>
  <si>
    <t>653.44</t>
  </si>
  <si>
    <t>220.84</t>
  </si>
  <si>
    <t>716.1</t>
  </si>
  <si>
    <t>808.01</t>
  </si>
  <si>
    <t>177.22</t>
  </si>
  <si>
    <t>764.23</t>
  </si>
  <si>
    <t>211.4</t>
  </si>
  <si>
    <t>528.02</t>
  </si>
  <si>
    <t>445.5</t>
  </si>
  <si>
    <t>691.4</t>
  </si>
  <si>
    <t>826.96</t>
  </si>
  <si>
    <t>516.61</t>
  </si>
  <si>
    <t>887.43</t>
  </si>
  <si>
    <t>690.69</t>
  </si>
  <si>
    <t>645.92</t>
  </si>
  <si>
    <t>154.26</t>
  </si>
  <si>
    <t>425.45</t>
  </si>
  <si>
    <t>515.87</t>
  </si>
  <si>
    <t>962.39</t>
  </si>
  <si>
    <t>804.71</t>
  </si>
  <si>
    <t>690.56</t>
  </si>
  <si>
    <t>943.88</t>
  </si>
  <si>
    <t>809.94</t>
  </si>
  <si>
    <t>739.17</t>
  </si>
  <si>
    <t>883.49</t>
  </si>
  <si>
    <t>875.57</t>
  </si>
  <si>
    <t>733.09</t>
  </si>
  <si>
    <t>654.85</t>
  </si>
  <si>
    <t>136.7</t>
  </si>
  <si>
    <t>498.11</t>
  </si>
  <si>
    <t>631.48</t>
  </si>
  <si>
    <t>670.42</t>
  </si>
  <si>
    <t>626.57</t>
  </si>
  <si>
    <t>625.11</t>
  </si>
  <si>
    <t>375.4</t>
  </si>
  <si>
    <t>189.75</t>
  </si>
  <si>
    <t>502.55</t>
  </si>
  <si>
    <t>218.38</t>
  </si>
  <si>
    <t>938.28</t>
  </si>
  <si>
    <t>263.05</t>
  </si>
  <si>
    <t>996.61</t>
  </si>
  <si>
    <t>444.84</t>
  </si>
  <si>
    <t>465.57</t>
  </si>
  <si>
    <t>452.94</t>
  </si>
  <si>
    <t>313.47</t>
  </si>
  <si>
    <t>577.52</t>
  </si>
  <si>
    <t>548.51</t>
  </si>
  <si>
    <t>796.81</t>
  </si>
  <si>
    <t>342.53</t>
  </si>
  <si>
    <t>696.91</t>
  </si>
  <si>
    <t>676.84</t>
  </si>
  <si>
    <t>993.11</t>
  </si>
  <si>
    <t>298.98</t>
  </si>
  <si>
    <t>834.42</t>
  </si>
  <si>
    <t>124.17</t>
  </si>
  <si>
    <t>430.28</t>
  </si>
  <si>
    <t>614.26</t>
  </si>
  <si>
    <t>346.49</t>
  </si>
  <si>
    <t>586.97</t>
  </si>
  <si>
    <t>980.54</t>
  </si>
  <si>
    <t>292.62</t>
  </si>
  <si>
    <t>177.14</t>
  </si>
  <si>
    <t>802.31</t>
  </si>
  <si>
    <t>980.46</t>
  </si>
  <si>
    <t>724.47</t>
  </si>
  <si>
    <t>219.51</t>
  </si>
  <si>
    <t>814.61</t>
  </si>
  <si>
    <t>440.45</t>
  </si>
  <si>
    <t>665.75</t>
  </si>
  <si>
    <t>376.66</t>
  </si>
  <si>
    <t>932.77</t>
  </si>
  <si>
    <t>881.23</t>
  </si>
  <si>
    <t>434.05</t>
  </si>
  <si>
    <t>902.37</t>
  </si>
  <si>
    <t>492.34</t>
  </si>
  <si>
    <t>819.25</t>
  </si>
  <si>
    <t>425.98</t>
  </si>
  <si>
    <t>739.76</t>
  </si>
  <si>
    <t>410.57</t>
  </si>
  <si>
    <t>226.48</t>
  </si>
  <si>
    <t>347.58</t>
  </si>
  <si>
    <t>939.01</t>
  </si>
  <si>
    <t>276.96</t>
  </si>
  <si>
    <t>982.6</t>
  </si>
  <si>
    <t>945.07</t>
  </si>
  <si>
    <t>694.91</t>
  </si>
  <si>
    <t>722.22</t>
  </si>
  <si>
    <t>639.67</t>
  </si>
  <si>
    <t>221.54</t>
  </si>
  <si>
    <t>601.72</t>
  </si>
  <si>
    <t>488.62</t>
  </si>
  <si>
    <t>469.81</t>
  </si>
  <si>
    <t>516.06</t>
  </si>
  <si>
    <t>839.64</t>
  </si>
  <si>
    <t>517.17</t>
  </si>
  <si>
    <t>364.24</t>
  </si>
  <si>
    <t>363.05</t>
  </si>
  <si>
    <t>555.15</t>
  </si>
  <si>
    <t>143.19</t>
  </si>
  <si>
    <t>650.05</t>
  </si>
  <si>
    <t>909.84</t>
  </si>
  <si>
    <t>645.25</t>
  </si>
  <si>
    <t>894.29</t>
  </si>
  <si>
    <t>641.82</t>
  </si>
  <si>
    <t>979.2</t>
  </si>
  <si>
    <t>853.1</t>
  </si>
  <si>
    <t>169.78</t>
  </si>
  <si>
    <t>562.29</t>
  </si>
  <si>
    <t>487.22</t>
  </si>
  <si>
    <t>726.73</t>
  </si>
  <si>
    <t>700.27</t>
  </si>
  <si>
    <t>108.41</t>
  </si>
  <si>
    <t>244.33</t>
  </si>
  <si>
    <t>679.95</t>
  </si>
  <si>
    <t>775.48</t>
  </si>
  <si>
    <t>451.47</t>
  </si>
  <si>
    <t>682.59</t>
  </si>
  <si>
    <t>594.59</t>
  </si>
  <si>
    <t>390.65</t>
  </si>
  <si>
    <t>940.26</t>
  </si>
  <si>
    <t>189.16</t>
  </si>
  <si>
    <t>561.97</t>
  </si>
  <si>
    <t>452.93</t>
  </si>
  <si>
    <t>489.04</t>
  </si>
  <si>
    <t>765.5</t>
  </si>
  <si>
    <t>296.07</t>
  </si>
  <si>
    <t>419.69</t>
  </si>
  <si>
    <t>709.65</t>
  </si>
  <si>
    <t>277.93</t>
  </si>
  <si>
    <t>562.8</t>
  </si>
  <si>
    <t>256.56</t>
  </si>
  <si>
    <t>980.78</t>
  </si>
  <si>
    <t>648.55</t>
  </si>
  <si>
    <t>969.03</t>
  </si>
  <si>
    <t>788.46</t>
  </si>
  <si>
    <t>334.56</t>
  </si>
  <si>
    <t>245.42</t>
  </si>
  <si>
    <t>813.23</t>
  </si>
  <si>
    <t>527.37</t>
  </si>
  <si>
    <t>124.98</t>
  </si>
  <si>
    <t>440.16</t>
  </si>
  <si>
    <t>656.42</t>
  </si>
  <si>
    <t>307.19</t>
  </si>
  <si>
    <t>779.23</t>
  </si>
  <si>
    <t>716.47</t>
  </si>
  <si>
    <t>158.32</t>
  </si>
  <si>
    <t>929.23</t>
  </si>
  <si>
    <t>345.63</t>
  </si>
  <si>
    <t>481.75</t>
  </si>
  <si>
    <t>177.93</t>
  </si>
  <si>
    <t>569.52</t>
  </si>
  <si>
    <t>612.11</t>
  </si>
  <si>
    <t>957.14</t>
  </si>
  <si>
    <t>508.46</t>
  </si>
  <si>
    <t>297.35</t>
  </si>
  <si>
    <t>418.13</t>
  </si>
  <si>
    <t>277.64</t>
  </si>
  <si>
    <t>854.78</t>
  </si>
  <si>
    <t>634.94</t>
  </si>
  <si>
    <t>219.05</t>
  </si>
  <si>
    <t>647.04</t>
  </si>
  <si>
    <t>100.7</t>
  </si>
  <si>
    <t>734.83</t>
  </si>
  <si>
    <t>325.74</t>
  </si>
  <si>
    <t>815.94</t>
  </si>
  <si>
    <t>356.92</t>
  </si>
  <si>
    <t>633.68</t>
  </si>
  <si>
    <t>222.14</t>
  </si>
  <si>
    <t>512.38</t>
  </si>
  <si>
    <t>970.07</t>
  </si>
  <si>
    <t>841.66</t>
  </si>
  <si>
    <t>570.4</t>
  </si>
  <si>
    <t>878.39</t>
  </si>
  <si>
    <t>375.13</t>
  </si>
  <si>
    <t>792.64</t>
  </si>
  <si>
    <t>896.56</t>
  </si>
  <si>
    <t>243.3</t>
  </si>
  <si>
    <t>767.71</t>
  </si>
  <si>
    <t>165.26</t>
  </si>
  <si>
    <t>800.27</t>
  </si>
  <si>
    <t>287.62</t>
  </si>
  <si>
    <t>770.26</t>
  </si>
  <si>
    <t>816.77</t>
  </si>
  <si>
    <t>907.31</t>
  </si>
  <si>
    <t>383.31</t>
  </si>
  <si>
    <t>291.2</t>
  </si>
  <si>
    <t>719.68</t>
  </si>
  <si>
    <t>562.88</t>
  </si>
  <si>
    <t>341.59</t>
  </si>
  <si>
    <t>616.88</t>
  </si>
  <si>
    <t>460.79</t>
  </si>
  <si>
    <t>221.62</t>
  </si>
  <si>
    <t>385.62</t>
  </si>
  <si>
    <t>549.29</t>
  </si>
  <si>
    <t>903.9</t>
  </si>
  <si>
    <t>562.13</t>
  </si>
  <si>
    <t>540.99</t>
  </si>
  <si>
    <t>300.99</t>
  </si>
  <si>
    <t>839.43</t>
  </si>
  <si>
    <t>360.16</t>
  </si>
  <si>
    <t>238.25</t>
  </si>
  <si>
    <t>251.5</t>
  </si>
  <si>
    <t>517.2</t>
  </si>
  <si>
    <t>305.96</t>
  </si>
  <si>
    <t>882.28</t>
  </si>
  <si>
    <t>758.82</t>
  </si>
  <si>
    <t>381.78</t>
  </si>
  <si>
    <t>220.04</t>
  </si>
  <si>
    <t>371.16</t>
  </si>
  <si>
    <t>890.64</t>
  </si>
  <si>
    <t>564.98</t>
  </si>
  <si>
    <t>199.91</t>
  </si>
  <si>
    <t>121.57</t>
  </si>
  <si>
    <t>743.32</t>
  </si>
  <si>
    <t>204.77</t>
  </si>
  <si>
    <t>363.01</t>
  </si>
  <si>
    <t>745.59</t>
  </si>
  <si>
    <t>416.86</t>
  </si>
  <si>
    <t>811.27</t>
  </si>
  <si>
    <t>880.51</t>
  </si>
  <si>
    <t>357.91</t>
  </si>
  <si>
    <t>729.25</t>
  </si>
  <si>
    <t>760.04</t>
  </si>
  <si>
    <t>431.18</t>
  </si>
  <si>
    <t>119.85</t>
  </si>
  <si>
    <t>350.84</t>
  </si>
  <si>
    <t>812.79</t>
  </si>
  <si>
    <t>776.62</t>
  </si>
  <si>
    <t>125.48</t>
  </si>
  <si>
    <t>877.64</t>
  </si>
  <si>
    <t>930.55</t>
  </si>
  <si>
    <t>246.94</t>
  </si>
  <si>
    <t>560.46</t>
  </si>
  <si>
    <t>621.83</t>
  </si>
  <si>
    <t>552.08</t>
  </si>
  <si>
    <t>688.04</t>
  </si>
  <si>
    <t>954.65</t>
  </si>
  <si>
    <t>727.79</t>
  </si>
  <si>
    <t>409.51</t>
  </si>
  <si>
    <t>281.01</t>
  </si>
  <si>
    <t>968.93</t>
  </si>
  <si>
    <t>168.72</t>
  </si>
  <si>
    <t>181.17</t>
  </si>
  <si>
    <t>573.55</t>
  </si>
  <si>
    <t>698.62</t>
  </si>
  <si>
    <t>230.7</t>
  </si>
  <si>
    <t>317.71</t>
  </si>
  <si>
    <t>512.43</t>
  </si>
  <si>
    <t>881.46</t>
  </si>
  <si>
    <t>110.41</t>
  </si>
  <si>
    <t>935.83</t>
  </si>
  <si>
    <t>520.28</t>
  </si>
  <si>
    <t>348.15</t>
  </si>
  <si>
    <t>817.56</t>
  </si>
  <si>
    <t>217.77</t>
  </si>
  <si>
    <t>587.71</t>
  </si>
  <si>
    <t>426.04</t>
  </si>
  <si>
    <t>365.19</t>
  </si>
  <si>
    <t>969.17</t>
  </si>
  <si>
    <t>848.1</t>
  </si>
  <si>
    <t>299.42</t>
  </si>
  <si>
    <t>723.35</t>
  </si>
  <si>
    <t>786.36</t>
  </si>
  <si>
    <t>708.09</t>
  </si>
  <si>
    <t>545.95</t>
  </si>
  <si>
    <t>882.65</t>
  </si>
  <si>
    <t>238.07</t>
  </si>
  <si>
    <t>857.91</t>
  </si>
  <si>
    <t>526.25</t>
  </si>
  <si>
    <t>451.77</t>
  </si>
  <si>
    <t>584.8</t>
  </si>
  <si>
    <t>764.87</t>
  </si>
  <si>
    <t>885.88</t>
  </si>
  <si>
    <t>931.25</t>
  </si>
  <si>
    <t>565.85</t>
  </si>
  <si>
    <t>746.5</t>
  </si>
  <si>
    <t>619.57</t>
  </si>
  <si>
    <t>115.5</t>
  </si>
  <si>
    <t>126.32</t>
  </si>
  <si>
    <t>211.31</t>
  </si>
  <si>
    <t>645.62</t>
  </si>
  <si>
    <t>208.04</t>
  </si>
  <si>
    <t>783.78</t>
  </si>
  <si>
    <t>404.01</t>
  </si>
  <si>
    <t>253.25</t>
  </si>
  <si>
    <t>830.37</t>
  </si>
  <si>
    <t>345.44</t>
  </si>
  <si>
    <t>571.34</t>
  </si>
  <si>
    <t>489.92</t>
  </si>
  <si>
    <t>977.36</t>
  </si>
  <si>
    <t>932.22</t>
  </si>
  <si>
    <t>382.31</t>
  </si>
  <si>
    <t>409.08</t>
  </si>
  <si>
    <t>551.26</t>
  </si>
  <si>
    <t>807.37</t>
  </si>
  <si>
    <t>426.6</t>
  </si>
  <si>
    <t>738.5</t>
  </si>
  <si>
    <t>778.06</t>
  </si>
  <si>
    <t>548.57</t>
  </si>
  <si>
    <t>462.68</t>
  </si>
  <si>
    <t>167.49</t>
  </si>
  <si>
    <t>529.14</t>
  </si>
  <si>
    <t>137.24</t>
  </si>
  <si>
    <t>738.61</t>
  </si>
  <si>
    <t>142.87</t>
  </si>
  <si>
    <t>842.44</t>
  </si>
  <si>
    <t>904.74</t>
  </si>
  <si>
    <t>624.32</t>
  </si>
  <si>
    <t>400.54</t>
  </si>
  <si>
    <t>598.04</t>
  </si>
  <si>
    <t>377.82</t>
  </si>
  <si>
    <t>644.68</t>
  </si>
  <si>
    <t>626.71</t>
  </si>
  <si>
    <t>141.95</t>
  </si>
  <si>
    <t>567.78</t>
  </si>
  <si>
    <t>709.05</t>
  </si>
  <si>
    <t>531.1</t>
  </si>
  <si>
    <t>388.63</t>
  </si>
  <si>
    <t>989.57</t>
  </si>
  <si>
    <t>726.63</t>
  </si>
  <si>
    <t>136.36</t>
  </si>
  <si>
    <t>562.98</t>
  </si>
  <si>
    <t>184.38</t>
  </si>
  <si>
    <t>814.07</t>
  </si>
  <si>
    <t>581.3</t>
  </si>
  <si>
    <t>537.14</t>
  </si>
  <si>
    <t>639.59</t>
  </si>
  <si>
    <t>817.59</t>
  </si>
  <si>
    <t>470.29</t>
  </si>
  <si>
    <t>478.16</t>
  </si>
  <si>
    <t>526.8</t>
  </si>
  <si>
    <t>214.09</t>
  </si>
  <si>
    <t>975.57</t>
  </si>
  <si>
    <t>702.27</t>
  </si>
  <si>
    <t>823.8</t>
  </si>
  <si>
    <t>756.61</t>
  </si>
  <si>
    <t>728.21</t>
  </si>
  <si>
    <t>861.86</t>
  </si>
  <si>
    <t>885.91</t>
  </si>
  <si>
    <t>896.59</t>
  </si>
  <si>
    <t>484.2</t>
  </si>
  <si>
    <t>140.64</t>
  </si>
  <si>
    <t>903.15</t>
  </si>
  <si>
    <t>699.36</t>
  </si>
  <si>
    <t>487.66</t>
  </si>
  <si>
    <t>736.0</t>
  </si>
  <si>
    <t>403.69</t>
  </si>
  <si>
    <t>393.64</t>
  </si>
  <si>
    <t>143.25</t>
  </si>
  <si>
    <t>683.57</t>
  </si>
  <si>
    <t>924.77</t>
  </si>
  <si>
    <t>879.55</t>
  </si>
  <si>
    <t>821.3</t>
  </si>
  <si>
    <t>496.52</t>
  </si>
  <si>
    <t>523.07</t>
  </si>
  <si>
    <t>791.59</t>
  </si>
  <si>
    <t>708.69</t>
  </si>
  <si>
    <t>301.44</t>
  </si>
  <si>
    <t>233.85</t>
  </si>
  <si>
    <t>397.63</t>
  </si>
  <si>
    <t>389.29</t>
  </si>
  <si>
    <t>275.41</t>
  </si>
  <si>
    <t>692.03</t>
  </si>
  <si>
    <t>989.49</t>
  </si>
  <si>
    <t>861.71</t>
  </si>
  <si>
    <t>142.59</t>
  </si>
  <si>
    <t>815.91</t>
  </si>
  <si>
    <t>847.97</t>
  </si>
  <si>
    <t>510.15</t>
  </si>
  <si>
    <t>808.36</t>
  </si>
  <si>
    <t>583.89</t>
  </si>
  <si>
    <t>847.87</t>
  </si>
  <si>
    <t>984.06</t>
  </si>
  <si>
    <t>505.4</t>
  </si>
  <si>
    <t>313.22</t>
  </si>
  <si>
    <t>334.91</t>
  </si>
  <si>
    <t>735.68</t>
  </si>
  <si>
    <t>958.35</t>
  </si>
  <si>
    <t>812.97</t>
  </si>
  <si>
    <t>994.56</t>
  </si>
  <si>
    <t>838.45</t>
  </si>
  <si>
    <t>447.36</t>
  </si>
  <si>
    <t>609.03</t>
  </si>
  <si>
    <t>635.19</t>
  </si>
  <si>
    <t>888.96</t>
  </si>
  <si>
    <t>925.45</t>
  </si>
  <si>
    <t>658.99</t>
  </si>
  <si>
    <t>554.38</t>
  </si>
  <si>
    <t>480.76</t>
  </si>
  <si>
    <t>922.1</t>
  </si>
  <si>
    <t>883.22</t>
  </si>
  <si>
    <t>131.04</t>
  </si>
  <si>
    <t>618.04</t>
  </si>
  <si>
    <t>563.18</t>
  </si>
  <si>
    <t>794.11</t>
  </si>
  <si>
    <t>350.85</t>
  </si>
  <si>
    <t>322.7</t>
  </si>
  <si>
    <t>549.98</t>
  </si>
  <si>
    <t>692.13</t>
  </si>
  <si>
    <t>206.88</t>
  </si>
  <si>
    <t>819.88</t>
  </si>
  <si>
    <t>903.67</t>
  </si>
  <si>
    <t>348.6</t>
  </si>
  <si>
    <t>879.64</t>
  </si>
  <si>
    <t>748.26</t>
  </si>
  <si>
    <t>940.58</t>
  </si>
  <si>
    <t>730.75</t>
  </si>
  <si>
    <t>941.73</t>
  </si>
  <si>
    <t>452.91</t>
  </si>
  <si>
    <t>599.12</t>
  </si>
  <si>
    <t>712.01</t>
  </si>
  <si>
    <t>191.84</t>
  </si>
  <si>
    <t>254.67</t>
  </si>
  <si>
    <t>935.24</t>
  </si>
  <si>
    <t>235.06</t>
  </si>
  <si>
    <t>108.62</t>
  </si>
  <si>
    <t>462.94</t>
  </si>
  <si>
    <t>175.07</t>
  </si>
  <si>
    <t>785.88</t>
  </si>
  <si>
    <t>917.53</t>
  </si>
  <si>
    <t>617.87</t>
  </si>
  <si>
    <t>425.46</t>
  </si>
  <si>
    <t>723.26</t>
  </si>
  <si>
    <t>844.62</t>
  </si>
  <si>
    <t>703.15</t>
  </si>
  <si>
    <t>401.39</t>
  </si>
  <si>
    <t>591.15</t>
  </si>
  <si>
    <t>234.11</t>
  </si>
  <si>
    <t>678.34</t>
  </si>
  <si>
    <t>791.08</t>
  </si>
  <si>
    <t>406.38</t>
  </si>
  <si>
    <t>651.43</t>
  </si>
  <si>
    <t>151.91</t>
  </si>
  <si>
    <t>218.14</t>
  </si>
  <si>
    <t>799.83</t>
  </si>
  <si>
    <t>950.87</t>
  </si>
  <si>
    <t>690.59</t>
  </si>
  <si>
    <t>315.85</t>
  </si>
  <si>
    <t>736.09</t>
  </si>
  <si>
    <t>602.21</t>
  </si>
  <si>
    <t>108.52</t>
  </si>
  <si>
    <t>827.31</t>
  </si>
  <si>
    <t>894.91</t>
  </si>
  <si>
    <t>293.19</t>
  </si>
  <si>
    <t>444.45</t>
  </si>
  <si>
    <t>256.72</t>
  </si>
  <si>
    <t>906.42</t>
  </si>
  <si>
    <t>953.23</t>
  </si>
  <si>
    <t>327.69</t>
  </si>
  <si>
    <t>882.59</t>
  </si>
  <si>
    <t>778.62</t>
  </si>
  <si>
    <t>311.98</t>
  </si>
  <si>
    <t>612.42</t>
  </si>
  <si>
    <t>680.78</t>
  </si>
  <si>
    <t>656.1</t>
  </si>
  <si>
    <t>770.04</t>
  </si>
  <si>
    <t>643.9</t>
  </si>
  <si>
    <t>180.86</t>
  </si>
  <si>
    <t>730.35</t>
  </si>
  <si>
    <t>910.79</t>
  </si>
  <si>
    <t>520.74</t>
  </si>
  <si>
    <t>449.36</t>
  </si>
  <si>
    <t>724.85</t>
  </si>
  <si>
    <t>483.75</t>
  </si>
  <si>
    <t>755.01</t>
  </si>
  <si>
    <t>671.68</t>
  </si>
  <si>
    <t>502.81</t>
  </si>
  <si>
    <t>813.6</t>
  </si>
  <si>
    <t>994.78</t>
  </si>
  <si>
    <t>951.13</t>
  </si>
  <si>
    <t>670.33</t>
  </si>
  <si>
    <t>311.93</t>
  </si>
  <si>
    <t>567.99</t>
  </si>
  <si>
    <t>594.81</t>
  </si>
  <si>
    <t>805.29</t>
  </si>
  <si>
    <t>255.04</t>
  </si>
  <si>
    <t>608.1</t>
  </si>
  <si>
    <t>835.54</t>
  </si>
  <si>
    <t>637.46</t>
  </si>
  <si>
    <t>965.46</t>
  </si>
  <si>
    <t>683.86</t>
  </si>
  <si>
    <t>442.13</t>
  </si>
  <si>
    <t>522.46</t>
  </si>
  <si>
    <t>301.55</t>
  </si>
  <si>
    <t>374.42</t>
  </si>
  <si>
    <t>827.1</t>
  </si>
  <si>
    <t>609.55</t>
  </si>
  <si>
    <t>367.79</t>
  </si>
  <si>
    <t>610.05</t>
  </si>
  <si>
    <t>340.96</t>
  </si>
  <si>
    <t>326.27</t>
  </si>
  <si>
    <t>291.35</t>
  </si>
  <si>
    <t>404.53</t>
  </si>
  <si>
    <t>536.72</t>
  </si>
  <si>
    <t>190.67</t>
  </si>
  <si>
    <t>298.25</t>
  </si>
  <si>
    <t>545.42</t>
  </si>
  <si>
    <t>502.86</t>
  </si>
  <si>
    <t>677.97</t>
  </si>
  <si>
    <t>172.66</t>
  </si>
  <si>
    <t>909.19</t>
  </si>
  <si>
    <t>138.74</t>
  </si>
  <si>
    <t>266.08</t>
  </si>
  <si>
    <t>380.51</t>
  </si>
  <si>
    <t>658.2</t>
  </si>
  <si>
    <t>252.09</t>
  </si>
  <si>
    <t>367.54</t>
  </si>
  <si>
    <t>644.89</t>
  </si>
  <si>
    <t>823.48</t>
  </si>
  <si>
    <t>596.96</t>
  </si>
  <si>
    <t>783.67</t>
  </si>
  <si>
    <t>478.8</t>
  </si>
  <si>
    <t>615.45</t>
  </si>
  <si>
    <t>996.27</t>
  </si>
  <si>
    <t>463.01</t>
  </si>
  <si>
    <t>652.41</t>
  </si>
  <si>
    <t>647.71</t>
  </si>
  <si>
    <t>988.31</t>
  </si>
  <si>
    <t>493.9</t>
  </si>
  <si>
    <t>926.68</t>
  </si>
  <si>
    <t>657.62</t>
  </si>
  <si>
    <t>727.47</t>
  </si>
  <si>
    <t>990.96</t>
  </si>
  <si>
    <t>104.27</t>
  </si>
  <si>
    <t>587.99</t>
  </si>
  <si>
    <t>796.6</t>
  </si>
  <si>
    <t>698.63</t>
  </si>
  <si>
    <t>326.19</t>
  </si>
  <si>
    <t>989.09</t>
  </si>
  <si>
    <t>358.16</t>
  </si>
  <si>
    <t>220.92</t>
  </si>
  <si>
    <t>226.35</t>
  </si>
  <si>
    <t>715.04</t>
  </si>
  <si>
    <t>297.14</t>
  </si>
  <si>
    <t>534.01</t>
  </si>
  <si>
    <t>759.58</t>
  </si>
  <si>
    <t>958.19</t>
  </si>
  <si>
    <t>593.08</t>
  </si>
  <si>
    <t>925.31</t>
  </si>
  <si>
    <t>633.1</t>
  </si>
  <si>
    <t>183.82</t>
  </si>
  <si>
    <t>615.89</t>
  </si>
  <si>
    <t>371.95</t>
  </si>
  <si>
    <t>374.43</t>
  </si>
  <si>
    <t>769.38</t>
  </si>
  <si>
    <t>571.8</t>
  </si>
  <si>
    <t>830.74</t>
  </si>
  <si>
    <t>996.99</t>
  </si>
  <si>
    <t>162.83</t>
  </si>
  <si>
    <t>890.15</t>
  </si>
  <si>
    <t>289.03</t>
  </si>
  <si>
    <t>540.91</t>
  </si>
  <si>
    <t>865.9</t>
  </si>
  <si>
    <t>967.23</t>
  </si>
  <si>
    <t>946.4</t>
  </si>
  <si>
    <t>738.81</t>
  </si>
  <si>
    <t>750.28</t>
  </si>
  <si>
    <t>798.84</t>
  </si>
  <si>
    <t>560.23</t>
  </si>
  <si>
    <t>633.08</t>
  </si>
  <si>
    <t>429.1</t>
  </si>
  <si>
    <t>693.74</t>
  </si>
  <si>
    <t>784.44</t>
  </si>
  <si>
    <t>274.61</t>
  </si>
  <si>
    <t>842.86</t>
  </si>
  <si>
    <t>205.07</t>
  </si>
  <si>
    <t>377.58</t>
  </si>
  <si>
    <t>522.32</t>
  </si>
  <si>
    <t>522.99</t>
  </si>
  <si>
    <t>937.01</t>
  </si>
  <si>
    <t>213.05</t>
  </si>
  <si>
    <t>915.14</t>
  </si>
  <si>
    <t>948.21</t>
  </si>
  <si>
    <t>901.81</t>
  </si>
  <si>
    <t>667.08</t>
  </si>
  <si>
    <t>850.48</t>
  </si>
  <si>
    <t>183.8</t>
  </si>
  <si>
    <t>732.52</t>
  </si>
  <si>
    <t>694.61</t>
  </si>
  <si>
    <t>724.35</t>
  </si>
  <si>
    <t>772.23</t>
  </si>
  <si>
    <t>669.43</t>
  </si>
  <si>
    <t>142.17</t>
  </si>
  <si>
    <t>351.53</t>
  </si>
  <si>
    <t>867.91</t>
  </si>
  <si>
    <t>900.04</t>
  </si>
  <si>
    <t>288.5</t>
  </si>
  <si>
    <t>583.4</t>
  </si>
  <si>
    <t>596.03</t>
  </si>
  <si>
    <t>299.21</t>
  </si>
  <si>
    <t>424.64</t>
  </si>
  <si>
    <t>654.56</t>
  </si>
  <si>
    <t>126.35</t>
  </si>
  <si>
    <t>623.28</t>
  </si>
  <si>
    <t>486.64</t>
  </si>
  <si>
    <t>157.63</t>
  </si>
  <si>
    <t>733.45</t>
  </si>
  <si>
    <t>805.49</t>
  </si>
  <si>
    <t>554.92</t>
  </si>
  <si>
    <t>720.72</t>
  </si>
  <si>
    <t>157.57</t>
  </si>
  <si>
    <t>288.54</t>
  </si>
  <si>
    <t>481.86</t>
  </si>
  <si>
    <t>970.64</t>
  </si>
  <si>
    <t>259.71</t>
  </si>
  <si>
    <t>457.63</t>
  </si>
  <si>
    <t>641.46</t>
  </si>
  <si>
    <t>960.04</t>
  </si>
  <si>
    <t>562.48</t>
  </si>
  <si>
    <t>800.78</t>
  </si>
  <si>
    <t>942.91</t>
  </si>
  <si>
    <t>352.66</t>
  </si>
  <si>
    <t>586.54</t>
  </si>
  <si>
    <t>884.84</t>
  </si>
  <si>
    <t>953.25</t>
  </si>
  <si>
    <t>738.76</t>
  </si>
  <si>
    <t>492.21</t>
  </si>
  <si>
    <t>342.46</t>
  </si>
  <si>
    <t>430.22</t>
  </si>
  <si>
    <t>256.15</t>
  </si>
  <si>
    <t>191.44</t>
  </si>
  <si>
    <t>724.59</t>
  </si>
  <si>
    <t>468.8</t>
  </si>
  <si>
    <t>892.2</t>
  </si>
  <si>
    <t>277.99</t>
  </si>
  <si>
    <t>479.32</t>
  </si>
  <si>
    <t>773.51</t>
  </si>
  <si>
    <t>565.47</t>
  </si>
  <si>
    <t>836.92</t>
  </si>
  <si>
    <t>862.77</t>
  </si>
  <si>
    <t>638.67</t>
  </si>
  <si>
    <t>701.29</t>
  </si>
  <si>
    <t>728.71</t>
  </si>
  <si>
    <t>900.46</t>
  </si>
  <si>
    <t>742.41</t>
  </si>
  <si>
    <t>157.68</t>
  </si>
  <si>
    <t>209.17</t>
  </si>
  <si>
    <t>537.81</t>
  </si>
  <si>
    <t>272.17</t>
  </si>
  <si>
    <t>610.09</t>
  </si>
  <si>
    <t>822.12</t>
  </si>
  <si>
    <t>379.96</t>
  </si>
  <si>
    <t>904.38</t>
  </si>
  <si>
    <t>331.17</t>
  </si>
  <si>
    <t>758.25</t>
  </si>
  <si>
    <t>553.68</t>
  </si>
  <si>
    <t>749.92</t>
  </si>
  <si>
    <t>175.79</t>
  </si>
  <si>
    <t>224.25</t>
  </si>
  <si>
    <t>805.71</t>
  </si>
  <si>
    <t>650.26</t>
  </si>
  <si>
    <t>357.05</t>
  </si>
  <si>
    <t>275.71</t>
  </si>
  <si>
    <t>397.15</t>
  </si>
  <si>
    <t>295.25</t>
  </si>
  <si>
    <t>379.8</t>
  </si>
  <si>
    <t>321.23</t>
  </si>
  <si>
    <t>690.97</t>
  </si>
  <si>
    <t>408.26</t>
  </si>
  <si>
    <t>640.11</t>
  </si>
  <si>
    <t>976.4</t>
  </si>
  <si>
    <t>458.51</t>
  </si>
  <si>
    <t>701.45</t>
  </si>
  <si>
    <t>996.68</t>
  </si>
  <si>
    <t>909.49</t>
  </si>
  <si>
    <t>406.24</t>
  </si>
  <si>
    <t>966.7</t>
  </si>
  <si>
    <t>370.78</t>
  </si>
  <si>
    <t>296.78</t>
  </si>
  <si>
    <t>262.46</t>
  </si>
  <si>
    <t>426.91</t>
  </si>
  <si>
    <t>816.95</t>
  </si>
  <si>
    <t>374.97</t>
  </si>
  <si>
    <t>196.22</t>
  </si>
  <si>
    <t>391.28</t>
  </si>
  <si>
    <t>531.72</t>
  </si>
  <si>
    <t>812.28</t>
  </si>
  <si>
    <t>727.16</t>
  </si>
  <si>
    <t>555.97</t>
  </si>
  <si>
    <t>955.83</t>
  </si>
  <si>
    <t>810.98</t>
  </si>
  <si>
    <t>928.34</t>
  </si>
  <si>
    <t>666.91</t>
  </si>
  <si>
    <t>703.14</t>
  </si>
  <si>
    <t>947.25</t>
  </si>
  <si>
    <t>629.49</t>
  </si>
  <si>
    <t>745.25</t>
  </si>
  <si>
    <t>808.79</t>
  </si>
  <si>
    <t>768.55</t>
  </si>
  <si>
    <t>419.8</t>
  </si>
  <si>
    <t>924.47</t>
  </si>
  <si>
    <t>450.97</t>
  </si>
  <si>
    <t>338.84</t>
  </si>
  <si>
    <t>456.12</t>
  </si>
  <si>
    <t>428.89</t>
  </si>
  <si>
    <t>683.41</t>
  </si>
  <si>
    <t>380.98</t>
  </si>
  <si>
    <t>953.12</t>
  </si>
  <si>
    <t>813.91</t>
  </si>
  <si>
    <t>343.45</t>
  </si>
  <si>
    <t>107.84</t>
  </si>
  <si>
    <t>877.93</t>
  </si>
  <si>
    <t>505.17</t>
  </si>
  <si>
    <t>545.12</t>
  </si>
  <si>
    <t>384.99</t>
  </si>
  <si>
    <t>375.34</t>
  </si>
  <si>
    <t>211.66</t>
  </si>
  <si>
    <t>852.59</t>
  </si>
  <si>
    <t>353.62</t>
  </si>
  <si>
    <t>411.79</t>
  </si>
  <si>
    <t>276.42</t>
  </si>
  <si>
    <t>523.7</t>
  </si>
  <si>
    <t>219.42</t>
  </si>
  <si>
    <t>980.26</t>
  </si>
  <si>
    <t>639.16</t>
  </si>
  <si>
    <t>203.59</t>
  </si>
  <si>
    <t>565.67</t>
  </si>
  <si>
    <t>682.61</t>
  </si>
  <si>
    <t>255.31</t>
  </si>
  <si>
    <t>157.55</t>
  </si>
  <si>
    <t>203.32</t>
  </si>
  <si>
    <t>644.44</t>
  </si>
  <si>
    <t>569.59</t>
  </si>
  <si>
    <t>891.36</t>
  </si>
  <si>
    <t>315.46</t>
  </si>
  <si>
    <t>652.18</t>
  </si>
  <si>
    <t>989.03</t>
  </si>
  <si>
    <t>588.38</t>
  </si>
  <si>
    <t>740.72</t>
  </si>
  <si>
    <t>599.29</t>
  </si>
  <si>
    <t>347.92</t>
  </si>
  <si>
    <t>347.07</t>
  </si>
  <si>
    <t>636.72</t>
  </si>
  <si>
    <t>336.88</t>
  </si>
  <si>
    <t>956.33</t>
  </si>
  <si>
    <t>735.95</t>
  </si>
  <si>
    <t>326.08</t>
  </si>
  <si>
    <t>961.63</t>
  </si>
  <si>
    <t>723.32</t>
  </si>
  <si>
    <t>998.39</t>
  </si>
  <si>
    <t>768.52</t>
  </si>
  <si>
    <t>936.33</t>
  </si>
  <si>
    <t>909.56</t>
  </si>
  <si>
    <t>500.21</t>
  </si>
  <si>
    <t>630.29</t>
  </si>
  <si>
    <t>135.85</t>
  </si>
  <si>
    <t>283.98</t>
  </si>
  <si>
    <t>908.65</t>
  </si>
  <si>
    <t>360.96</t>
  </si>
  <si>
    <t>414.67</t>
  </si>
  <si>
    <t>710.05</t>
  </si>
  <si>
    <t>496.65</t>
  </si>
  <si>
    <t>952.31</t>
  </si>
  <si>
    <t>832.58</t>
  </si>
  <si>
    <t>569.1</t>
  </si>
  <si>
    <t>172.35</t>
  </si>
  <si>
    <t>320.7</t>
  </si>
  <si>
    <t>844.46</t>
  </si>
  <si>
    <t>997.18</t>
  </si>
  <si>
    <t>718.65</t>
  </si>
  <si>
    <t>142.96</t>
  </si>
  <si>
    <t>962.61</t>
  </si>
  <si>
    <t>846.78</t>
  </si>
  <si>
    <t>668.0</t>
  </si>
  <si>
    <t>294.95</t>
  </si>
  <si>
    <t>720.16</t>
  </si>
  <si>
    <t>771.01</t>
  </si>
  <si>
    <t>966.77</t>
  </si>
  <si>
    <t>962.49</t>
  </si>
  <si>
    <t>504.94</t>
  </si>
  <si>
    <t>432.04</t>
  </si>
  <si>
    <t>847.54</t>
  </si>
  <si>
    <t>137.48</t>
  </si>
  <si>
    <t>772.68</t>
  </si>
  <si>
    <t>237.47</t>
  </si>
  <si>
    <t>136.19</t>
  </si>
  <si>
    <t>873.64</t>
  </si>
  <si>
    <t>878.28</t>
  </si>
  <si>
    <t>200.83</t>
  </si>
  <si>
    <t>575.82</t>
  </si>
  <si>
    <t>845.41</t>
  </si>
  <si>
    <t>386.46</t>
  </si>
  <si>
    <t>860.04</t>
  </si>
  <si>
    <t>126.02</t>
  </si>
  <si>
    <t>556.06</t>
  </si>
  <si>
    <t>605.56</t>
  </si>
  <si>
    <t>434.7</t>
  </si>
  <si>
    <t>803.15</t>
  </si>
  <si>
    <t>896.51</t>
  </si>
  <si>
    <t>811.65</t>
  </si>
  <si>
    <t>483.07</t>
  </si>
  <si>
    <t>530.3</t>
  </si>
  <si>
    <t>411.94</t>
  </si>
  <si>
    <t>623.85</t>
  </si>
  <si>
    <t>130.0</t>
  </si>
  <si>
    <t>451.35</t>
  </si>
  <si>
    <t>329.31</t>
  </si>
  <si>
    <t>574.87</t>
  </si>
  <si>
    <t>354.86</t>
  </si>
  <si>
    <t>876.08</t>
  </si>
  <si>
    <t>955.91</t>
  </si>
  <si>
    <t>586.99</t>
  </si>
  <si>
    <t>126.23</t>
  </si>
  <si>
    <t>281.5</t>
  </si>
  <si>
    <t>332.52</t>
  </si>
  <si>
    <t>159.09</t>
  </si>
  <si>
    <t>936.69</t>
  </si>
  <si>
    <t>885.56</t>
  </si>
  <si>
    <t>878.85</t>
  </si>
  <si>
    <t>734.01</t>
  </si>
  <si>
    <t>601.05</t>
  </si>
  <si>
    <t>219.6</t>
  </si>
  <si>
    <t>812.01</t>
  </si>
  <si>
    <t>410.11</t>
  </si>
  <si>
    <t>480.34</t>
  </si>
  <si>
    <t>943.45</t>
  </si>
  <si>
    <t>256.16</t>
  </si>
  <si>
    <t>943.86</t>
  </si>
  <si>
    <t>888.51</t>
  </si>
  <si>
    <t>526.68</t>
  </si>
  <si>
    <t>406.63</t>
  </si>
  <si>
    <t>192.06</t>
  </si>
  <si>
    <t>218.56</t>
  </si>
  <si>
    <t>342.12</t>
  </si>
  <si>
    <t>377.22</t>
  </si>
  <si>
    <t>617.86</t>
  </si>
  <si>
    <t>963.4</t>
  </si>
  <si>
    <t>688.39</t>
  </si>
  <si>
    <t>804.29</t>
  </si>
  <si>
    <t>390.49</t>
  </si>
  <si>
    <t>385.22</t>
  </si>
  <si>
    <t>109.96</t>
  </si>
  <si>
    <t>113.05</t>
  </si>
  <si>
    <t>227.55</t>
  </si>
  <si>
    <t>513.01</t>
  </si>
  <si>
    <t>411.63</t>
  </si>
  <si>
    <t>226.38</t>
  </si>
  <si>
    <t>195.4</t>
  </si>
  <si>
    <t>963.35</t>
  </si>
  <si>
    <t>998.02</t>
  </si>
  <si>
    <t>593.98</t>
  </si>
  <si>
    <t>505.54</t>
  </si>
  <si>
    <t>100.57</t>
  </si>
  <si>
    <t>247.18</t>
  </si>
  <si>
    <t>987.06</t>
  </si>
  <si>
    <t>529.09</t>
  </si>
  <si>
    <t>203.28</t>
  </si>
  <si>
    <t>765.93</t>
  </si>
  <si>
    <t>465.72</t>
  </si>
  <si>
    <t>109.84</t>
  </si>
  <si>
    <t>654.68</t>
  </si>
  <si>
    <t>665.06</t>
  </si>
  <si>
    <t>687.06</t>
  </si>
  <si>
    <t>449.38</t>
  </si>
  <si>
    <t>350.72</t>
  </si>
  <si>
    <t>699.07</t>
  </si>
  <si>
    <t>124.84</t>
  </si>
  <si>
    <t>623.4</t>
  </si>
  <si>
    <t>765.99</t>
  </si>
  <si>
    <t>332.94</t>
  </si>
  <si>
    <t>325.99</t>
  </si>
  <si>
    <t>102.06</t>
  </si>
  <si>
    <t>648.12</t>
  </si>
  <si>
    <t>740.46</t>
  </si>
  <si>
    <t>558.5</t>
  </si>
  <si>
    <t>224.37</t>
  </si>
  <si>
    <t>856.48</t>
  </si>
  <si>
    <t>932.37</t>
  </si>
  <si>
    <t>188.15</t>
  </si>
  <si>
    <t>394.57</t>
  </si>
  <si>
    <t>185.3</t>
  </si>
  <si>
    <t>311.14</t>
  </si>
  <si>
    <t>250.48</t>
  </si>
  <si>
    <t>137.19</t>
  </si>
  <si>
    <t>512.37</t>
  </si>
  <si>
    <t>738.44</t>
  </si>
  <si>
    <t>404.81</t>
  </si>
  <si>
    <t>877.8</t>
  </si>
  <si>
    <t>872.35</t>
  </si>
  <si>
    <t>738.09</t>
  </si>
  <si>
    <t>840.35</t>
  </si>
  <si>
    <t>280.56</t>
  </si>
  <si>
    <t>725.67</t>
  </si>
  <si>
    <t>993.45</t>
  </si>
  <si>
    <t>946.21</t>
  </si>
  <si>
    <t>743.23</t>
  </si>
  <si>
    <t>961.99</t>
  </si>
  <si>
    <t>246.95</t>
  </si>
  <si>
    <t>938.69</t>
  </si>
  <si>
    <t>492.31</t>
  </si>
  <si>
    <t>263.44</t>
  </si>
  <si>
    <t>842.67</t>
  </si>
  <si>
    <t>778.09</t>
  </si>
  <si>
    <t>131.7</t>
  </si>
  <si>
    <t>348.47</t>
  </si>
  <si>
    <t>948.76</t>
  </si>
  <si>
    <t>623.67</t>
  </si>
  <si>
    <t>728.59</t>
  </si>
  <si>
    <t>355.56</t>
  </si>
  <si>
    <t>393.97</t>
  </si>
  <si>
    <t>656.53</t>
  </si>
  <si>
    <t>446.79</t>
  </si>
  <si>
    <t>926.23</t>
  </si>
  <si>
    <t>606.37</t>
  </si>
  <si>
    <t>670.62</t>
  </si>
  <si>
    <t>997.35</t>
  </si>
  <si>
    <t>578.38</t>
  </si>
  <si>
    <t>692.58</t>
  </si>
  <si>
    <t>348.33</t>
  </si>
  <si>
    <t>839.58</t>
  </si>
  <si>
    <t>907.59</t>
  </si>
  <si>
    <t>109.53</t>
  </si>
  <si>
    <t>435.44</t>
  </si>
  <si>
    <t>538.36</t>
  </si>
  <si>
    <t>2024-05-13 09:32:00</t>
  </si>
  <si>
    <t>2024-05-09 16:43:00</t>
  </si>
  <si>
    <t>2024-03-02 02:07:00</t>
  </si>
  <si>
    <t>2024-03-21 00:09:00</t>
  </si>
  <si>
    <t>2024-03-15 17:16:00</t>
  </si>
  <si>
    <t>2024-05-11 23:29:00</t>
  </si>
  <si>
    <t>2024-01-23 21:18:00</t>
  </si>
  <si>
    <t>2024-01-19 17:33:00</t>
  </si>
  <si>
    <t>2024-02-21 02:41:00</t>
  </si>
  <si>
    <t>2024-04-19 20:21:00</t>
  </si>
  <si>
    <t>2024-03-17 06:16:00</t>
  </si>
  <si>
    <t>2024-05-24 18:16:00</t>
  </si>
  <si>
    <t>2024-04-03 17:41:00</t>
  </si>
  <si>
    <t>2024-02-03 08:04:00</t>
  </si>
  <si>
    <t>2024-04-19 13:51:00</t>
  </si>
  <si>
    <t>2024-02-07 07:39:00</t>
  </si>
  <si>
    <t>2024-05-09 08:59:00</t>
  </si>
  <si>
    <t>2024-05-10 07:01:00</t>
  </si>
  <si>
    <t>2024-02-09 01:37:00</t>
  </si>
  <si>
    <t>2024-05-06 18:19:00</t>
  </si>
  <si>
    <t>2024-04-29 11:59:00</t>
  </si>
  <si>
    <t>2024-05-11 15:53:00</t>
  </si>
  <si>
    <t>2024-01-18 19:19:00</t>
  </si>
  <si>
    <t>2024-01-06 15:02:00</t>
  </si>
  <si>
    <t>2024-01-26 10:40:00</t>
  </si>
  <si>
    <t>2024-02-27 22:09:00</t>
  </si>
  <si>
    <t>2024-01-28 20:07:00</t>
  </si>
  <si>
    <t>2024-03-18 05:33:00</t>
  </si>
  <si>
    <t>2024-04-02 16:06:00</t>
  </si>
  <si>
    <t>2024-03-10 07:59:00</t>
  </si>
  <si>
    <t>2024-01-19 09:15:00</t>
  </si>
  <si>
    <t>2024-02-06 17:23:00</t>
  </si>
  <si>
    <t>2024-04-26 04:30:00</t>
  </si>
  <si>
    <t>2024-01-26 16:03:00</t>
  </si>
  <si>
    <t>2024-05-13 19:05:00</t>
  </si>
  <si>
    <t>2024-05-06 10:46:00</t>
  </si>
  <si>
    <t>2024-03-23 19:01:00</t>
  </si>
  <si>
    <t>2024-01-12 16:26:00</t>
  </si>
  <si>
    <t>2024-02-28 20:54:00</t>
  </si>
  <si>
    <t>2024-03-29 08:04:00</t>
  </si>
  <si>
    <t>2024-01-04 07:41:00</t>
  </si>
  <si>
    <t>2024-02-22 21:24:00</t>
  </si>
  <si>
    <t>2024-01-27 20:47:00</t>
  </si>
  <si>
    <t>2024-04-13 12:49:00</t>
  </si>
  <si>
    <t>2024-02-29 11:49:00</t>
  </si>
  <si>
    <t>2024-01-08 02:06:00</t>
  </si>
  <si>
    <t>2024-03-21 00:55:00</t>
  </si>
  <si>
    <t>2024-05-22 08:43:00</t>
  </si>
  <si>
    <t>2024-01-08 06:49:00</t>
  </si>
  <si>
    <t>2024-03-03 07:49:00</t>
  </si>
  <si>
    <t>2024-02-17 02:41:00</t>
  </si>
  <si>
    <t>2024-02-21 03:09:00</t>
  </si>
  <si>
    <t>2024-04-17 05:52:00</t>
  </si>
  <si>
    <t>2024-01-14 09:54:00</t>
  </si>
  <si>
    <t>2024-05-13 07:00:00</t>
  </si>
  <si>
    <t>2024-02-25 03:41:00</t>
  </si>
  <si>
    <t>2024-05-30 18:23:00</t>
  </si>
  <si>
    <t>2024-05-08 07:29:00</t>
  </si>
  <si>
    <t>2024-01-27 15:04:00</t>
  </si>
  <si>
    <t>2024-03-30 18:46:00</t>
  </si>
  <si>
    <t>2024-04-13 00:10:00</t>
  </si>
  <si>
    <t>2024-05-13 08:03:00</t>
  </si>
  <si>
    <t>2024-03-02 02:49:00</t>
  </si>
  <si>
    <t>2024-01-04 15:18:00</t>
  </si>
  <si>
    <t>2024-02-19 11:09:00</t>
  </si>
  <si>
    <t>2024-02-18 19:25:00</t>
  </si>
  <si>
    <t>2024-03-22 04:04:00</t>
  </si>
  <si>
    <t>2024-02-20 21:38:00</t>
  </si>
  <si>
    <t>2024-01-16 07:33:00</t>
  </si>
  <si>
    <t>2024-02-25 11:38:00</t>
  </si>
  <si>
    <t>2024-03-27 10:36:00</t>
  </si>
  <si>
    <t>2024-05-30 14:47:00</t>
  </si>
  <si>
    <t>2024-05-29 20:14:00</t>
  </si>
  <si>
    <t>2024-03-08 16:01:00</t>
  </si>
  <si>
    <t>2024-04-30 07:54:00</t>
  </si>
  <si>
    <t>2024-03-08 20:25:00</t>
  </si>
  <si>
    <t>2024-03-25 21:07:00</t>
  </si>
  <si>
    <t>2024-02-08 05:04:00</t>
  </si>
  <si>
    <t>2024-03-18 06:52:00</t>
  </si>
  <si>
    <t>2024-04-16 13:46:00</t>
  </si>
  <si>
    <t>2024-03-16 05:51:00</t>
  </si>
  <si>
    <t>2024-05-05 05:51:00</t>
  </si>
  <si>
    <t>2024-05-11 15:03:00</t>
  </si>
  <si>
    <t>2024-04-20 09:39:00</t>
  </si>
  <si>
    <t>2024-05-23 21:58:00</t>
  </si>
  <si>
    <t>2024-01-16 19:17:00</t>
  </si>
  <si>
    <t>2024-03-04 09:17:00</t>
  </si>
  <si>
    <t>2024-02-27 16:31:00</t>
  </si>
  <si>
    <t>2024-01-31 06:04:00</t>
  </si>
  <si>
    <t>2024-02-07 19:18:00</t>
  </si>
  <si>
    <t>2024-05-30 14:22:00</t>
  </si>
  <si>
    <t>2024-03-02 01:58:00</t>
  </si>
  <si>
    <t>2024-05-05 19:12:00</t>
  </si>
  <si>
    <t>2024-01-11 18:22:00</t>
  </si>
  <si>
    <t>2024-05-01 03:51:00</t>
  </si>
  <si>
    <t>2024-02-11 18:25:00</t>
  </si>
  <si>
    <t>2024-03-22 10:14:00</t>
  </si>
  <si>
    <t>2024-04-17 03:00:00</t>
  </si>
  <si>
    <t>2024-03-23 04:42:00</t>
  </si>
  <si>
    <t>2024-01-07 17:08:00</t>
  </si>
  <si>
    <t>2024-01-25 16:35:00</t>
  </si>
  <si>
    <t>2024-05-02 09:42:00</t>
  </si>
  <si>
    <t>2024-01-09 17:15:00</t>
  </si>
  <si>
    <t>2024-02-09 08:31:00</t>
  </si>
  <si>
    <t>2024-01-21 21:47:00</t>
  </si>
  <si>
    <t>2024-04-19 04:41:00</t>
  </si>
  <si>
    <t>2024-05-04 05:23:00</t>
  </si>
  <si>
    <t>2024-04-14 21:09:00</t>
  </si>
  <si>
    <t>2024-05-12 20:44:00</t>
  </si>
  <si>
    <t>2024-02-13 02:42:00</t>
  </si>
  <si>
    <t>2024-01-25 11:53:00</t>
  </si>
  <si>
    <t>2024-01-04 22:23:00</t>
  </si>
  <si>
    <t>2024-01-24 06:58:00</t>
  </si>
  <si>
    <t>2024-04-11 19:01:00</t>
  </si>
  <si>
    <t>2024-05-10 12:50:00</t>
  </si>
  <si>
    <t>2024-05-04 01:58:00</t>
  </si>
  <si>
    <t>2024-03-21 18:38:00</t>
  </si>
  <si>
    <t>2024-01-07 09:25:00</t>
  </si>
  <si>
    <t>2024-02-13 06:20:00</t>
  </si>
  <si>
    <t>2024-02-02 06:21:00</t>
  </si>
  <si>
    <t>2024-02-29 03:25:00</t>
  </si>
  <si>
    <t>2024-04-12 01:14:00</t>
  </si>
  <si>
    <t>2024-01-12 23:03:00</t>
  </si>
  <si>
    <t>2024-03-23 21:04:00</t>
  </si>
  <si>
    <t>2024-02-16 08:29:00</t>
  </si>
  <si>
    <t>2024-01-02 09:59:00</t>
  </si>
  <si>
    <t>2024-05-26 20:20:00</t>
  </si>
  <si>
    <t>2024-05-04 17:40:00</t>
  </si>
  <si>
    <t>2024-04-15 15:52:00</t>
  </si>
  <si>
    <t>2024-04-26 04:36:00</t>
  </si>
  <si>
    <t>2024-04-07 06:36:00</t>
  </si>
  <si>
    <t>2024-05-25 09:04:00</t>
  </si>
  <si>
    <t>2024-01-22 05:58:00</t>
  </si>
  <si>
    <t>2024-04-20 15:36:00</t>
  </si>
  <si>
    <t>2024-02-12 18:07:00</t>
  </si>
  <si>
    <t>2024-05-29 05:34:00</t>
  </si>
  <si>
    <t>2024-03-07 14:06:00</t>
  </si>
  <si>
    <t>2024-01-12 01:05:00</t>
  </si>
  <si>
    <t>2024-02-13 03:45:00</t>
  </si>
  <si>
    <t>2024-04-08 16:45:00</t>
  </si>
  <si>
    <t>2024-02-16 13:21:00</t>
  </si>
  <si>
    <t>2024-02-09 02:05:00</t>
  </si>
  <si>
    <t>2024-04-22 23:57:00</t>
  </si>
  <si>
    <t>2024-04-24 22:14:00</t>
  </si>
  <si>
    <t>2024-04-09 10:54:00</t>
  </si>
  <si>
    <t>2024-04-26 11:54:00</t>
  </si>
  <si>
    <t>2024-01-25 13:38:00</t>
  </si>
  <si>
    <t>2024-03-27 20:45:00</t>
  </si>
  <si>
    <t>2024-02-22 22:51:00</t>
  </si>
  <si>
    <t>2024-03-10 10:56:00</t>
  </si>
  <si>
    <t>2024-03-11 16:14:00</t>
  </si>
  <si>
    <t>2024-01-01 13:23:00</t>
  </si>
  <si>
    <t>2024-04-18 16:28:00</t>
  </si>
  <si>
    <t>2024-05-06 23:14:00</t>
  </si>
  <si>
    <t>2024-02-03 13:42:00</t>
  </si>
  <si>
    <t>2024-03-17 22:19:00</t>
  </si>
  <si>
    <t>2024-02-03 18:22:00</t>
  </si>
  <si>
    <t>2024-03-16 22:18:00</t>
  </si>
  <si>
    <t>2024-05-15 12:29:00</t>
  </si>
  <si>
    <t>2024-01-09 05:28:00</t>
  </si>
  <si>
    <t>2024-04-07 03:17:00</t>
  </si>
  <si>
    <t>2024-05-10 05:20:00</t>
  </si>
  <si>
    <t>2024-02-23 00:48:00</t>
  </si>
  <si>
    <t>2024-01-30 03:37:00</t>
  </si>
  <si>
    <t>2024-05-22 13:00:00</t>
  </si>
  <si>
    <t>2024-03-05 22:06:00</t>
  </si>
  <si>
    <t>2024-02-02 22:29:00</t>
  </si>
  <si>
    <t>2024-01-21 14:09:00</t>
  </si>
  <si>
    <t>2024-05-16 09:07:00</t>
  </si>
  <si>
    <t>2024-03-15 17:21:00</t>
  </si>
  <si>
    <t>2024-02-28 00:23:00</t>
  </si>
  <si>
    <t>2024-04-05 18:58:00</t>
  </si>
  <si>
    <t>2024-05-03 00:06:00</t>
  </si>
  <si>
    <t>2024-02-06 14:08:00</t>
  </si>
  <si>
    <t>2024-04-01 09:27:00</t>
  </si>
  <si>
    <t>2024-05-07 03:00:00</t>
  </si>
  <si>
    <t>2024-05-11 09:21:00</t>
  </si>
  <si>
    <t>2024-02-04 23:47:00</t>
  </si>
  <si>
    <t>2024-04-01 08:04:00</t>
  </si>
  <si>
    <t>2024-02-06 05:53:00</t>
  </si>
  <si>
    <t>2024-01-06 15:44:00</t>
  </si>
  <si>
    <t>2024-03-04 21:14:00</t>
  </si>
  <si>
    <t>2024-03-27 13:38:00</t>
  </si>
  <si>
    <t>2024-05-04 01:41:00</t>
  </si>
  <si>
    <t>2024-03-02 04:39:00</t>
  </si>
  <si>
    <t>2024-02-14 05:40:00</t>
  </si>
  <si>
    <t>2024-02-18 09:23:00</t>
  </si>
  <si>
    <t>2024-01-12 14:57:00</t>
  </si>
  <si>
    <t>2024-01-02 07:36:00</t>
  </si>
  <si>
    <t>2024-02-09 16:23:00</t>
  </si>
  <si>
    <t>2024-04-07 11:28:00</t>
  </si>
  <si>
    <t>2024-04-22 10:32:00</t>
  </si>
  <si>
    <t>2024-03-29 03:41:00</t>
  </si>
  <si>
    <t>2024-01-26 02:22:00</t>
  </si>
  <si>
    <t>2024-03-31 23:24:00</t>
  </si>
  <si>
    <t>2024-01-09 06:16:00</t>
  </si>
  <si>
    <t>2024-04-28 22:05:00</t>
  </si>
  <si>
    <t>2024-02-18 02:13:00</t>
  </si>
  <si>
    <t>2024-02-07 19:02:00</t>
  </si>
  <si>
    <t>2024-05-05 11:28:00</t>
  </si>
  <si>
    <t>2024-01-18 07:30:00</t>
  </si>
  <si>
    <t>2024-01-29 19:34:00</t>
  </si>
  <si>
    <t>2024-02-17 04:02:00</t>
  </si>
  <si>
    <t>2024-01-31 07:59:00</t>
  </si>
  <si>
    <t>2024-05-16 08:42:00</t>
  </si>
  <si>
    <t>2024-03-07 04:26:00</t>
  </si>
  <si>
    <t>2024-04-21 14:19:00</t>
  </si>
  <si>
    <t>2024-04-08 11:04:00</t>
  </si>
  <si>
    <t>2024-03-21 10:34:00</t>
  </si>
  <si>
    <t>2024-03-19 22:41:00</t>
  </si>
  <si>
    <t>2024-02-02 12:24:00</t>
  </si>
  <si>
    <t>2024-01-14 16:52:00</t>
  </si>
  <si>
    <t>2024-05-07 11:48:00</t>
  </si>
  <si>
    <t>2024-01-22 20:37:00</t>
  </si>
  <si>
    <t>2024-01-02 12:42:00</t>
  </si>
  <si>
    <t>2024-05-29 11:20:00</t>
  </si>
  <si>
    <t>2024-04-09 13:13:00</t>
  </si>
  <si>
    <t>2024-03-25 21:32:00</t>
  </si>
  <si>
    <t>2024-02-10 02:20:00</t>
  </si>
  <si>
    <t>2024-01-29 18:08:00</t>
  </si>
  <si>
    <t>2024-05-25 05:17:00</t>
  </si>
  <si>
    <t>2024-05-15 10:37:00</t>
  </si>
  <si>
    <t>2024-01-20 02:30:00</t>
  </si>
  <si>
    <t>2024-05-25 16:24:00</t>
  </si>
  <si>
    <t>2024-05-22 13:11:00</t>
  </si>
  <si>
    <t>2024-02-21 22:10:00</t>
  </si>
  <si>
    <t>2024-01-06 19:33:00</t>
  </si>
  <si>
    <t>2024-05-21 12:44:00</t>
  </si>
  <si>
    <t>2024-05-15 15:19:00</t>
  </si>
  <si>
    <t>2024-05-10 10:58:00</t>
  </si>
  <si>
    <t>2024-05-28 21:15:00</t>
  </si>
  <si>
    <t>2024-04-06 04:17:00</t>
  </si>
  <si>
    <t>2024-05-08 06:36:00</t>
  </si>
  <si>
    <t>2024-03-04 20:21:00</t>
  </si>
  <si>
    <t>2024-03-29 15:32:00</t>
  </si>
  <si>
    <t>2024-05-18 22:05:00</t>
  </si>
  <si>
    <t>2024-04-29 05:35:00</t>
  </si>
  <si>
    <t>2024-02-23 18:44:00</t>
  </si>
  <si>
    <t>2024-02-14 10:05:00</t>
  </si>
  <si>
    <t>2024-03-08 03:52:00</t>
  </si>
  <si>
    <t>2024-03-22 20:58:00</t>
  </si>
  <si>
    <t>2024-03-07 18:55:00</t>
  </si>
  <si>
    <t>2024-01-29 13:08:00</t>
  </si>
  <si>
    <t>2024-05-18 08:50:00</t>
  </si>
  <si>
    <t>2024-01-20 00:07:00</t>
  </si>
  <si>
    <t>2024-01-28 17:53:00</t>
  </si>
  <si>
    <t>2024-02-28 08:52:00</t>
  </si>
  <si>
    <t>2024-05-26 01:12:00</t>
  </si>
  <si>
    <t>2024-05-15 11:58:00</t>
  </si>
  <si>
    <t>2024-02-19 16:22:00</t>
  </si>
  <si>
    <t>2024-02-18 15:45:00</t>
  </si>
  <si>
    <t>2024-03-05 21:44:00</t>
  </si>
  <si>
    <t>2024-05-24 13:37:00</t>
  </si>
  <si>
    <t>2024-03-13 19:38:00</t>
  </si>
  <si>
    <t>2024-02-12 15:38:00</t>
  </si>
  <si>
    <t>2024-03-20 00:22:00</t>
  </si>
  <si>
    <t>2024-03-11 05:59:00</t>
  </si>
  <si>
    <t>2024-04-03 07:21:00</t>
  </si>
  <si>
    <t>2024-03-15 04:50:00</t>
  </si>
  <si>
    <t>2024-04-25 09:01:00</t>
  </si>
  <si>
    <t>2024-01-24 00:07:00</t>
  </si>
  <si>
    <t>2024-05-21 15:20:00</t>
  </si>
  <si>
    <t>2024-01-24 17:16:00</t>
  </si>
  <si>
    <t>2024-03-28 12:08:00</t>
  </si>
  <si>
    <t>2024-04-29 17:37:00</t>
  </si>
  <si>
    <t>2024-03-18 18:01:00</t>
  </si>
  <si>
    <t>2024-04-16 16:27:00</t>
  </si>
  <si>
    <t>2024-04-30 06:01:00</t>
  </si>
  <si>
    <t>2024-05-14 07:48:00</t>
  </si>
  <si>
    <t>2024-04-10 06:36:00</t>
  </si>
  <si>
    <t>2024-03-24 01:47:00</t>
  </si>
  <si>
    <t>2024-01-26 12:26:00</t>
  </si>
  <si>
    <t>2024-04-24 07:34:00</t>
  </si>
  <si>
    <t>2024-03-20 06:05:00</t>
  </si>
  <si>
    <t>2024-02-07 23:31:00</t>
  </si>
  <si>
    <t>2024-03-18 10:14:00</t>
  </si>
  <si>
    <t>2024-01-29 19:40:00</t>
  </si>
  <si>
    <t>2024-03-07 11:05:00</t>
  </si>
  <si>
    <t>2024-03-06 11:39:00</t>
  </si>
  <si>
    <t>2024-04-05 00:37:00</t>
  </si>
  <si>
    <t>2024-05-10 10:17:00</t>
  </si>
  <si>
    <t>2024-01-31 09:34:00</t>
  </si>
  <si>
    <t>2024-03-05 21:28:00</t>
  </si>
  <si>
    <t>2024-05-12 06:02:00</t>
  </si>
  <si>
    <t>2024-02-06 10:03:00</t>
  </si>
  <si>
    <t>2024-03-15 19:33:00</t>
  </si>
  <si>
    <t>2024-04-26 15:15:00</t>
  </si>
  <si>
    <t>2024-03-19 05:09:00</t>
  </si>
  <si>
    <t>2024-01-06 14:50:00</t>
  </si>
  <si>
    <t>2024-05-28 22:48:00</t>
  </si>
  <si>
    <t>2024-04-22 12:23:00</t>
  </si>
  <si>
    <t>2024-01-12 19:15:00</t>
  </si>
  <si>
    <t>2024-02-10 06:35:00</t>
  </si>
  <si>
    <t>2024-03-12 22:05:00</t>
  </si>
  <si>
    <t>2024-05-06 04:00:00</t>
  </si>
  <si>
    <t>2024-02-27 05:05:00</t>
  </si>
  <si>
    <t>2024-02-16 20:28:00</t>
  </si>
  <si>
    <t>2024-05-01 12:19:00</t>
  </si>
  <si>
    <t>2024-05-11 16:30:00</t>
  </si>
  <si>
    <t>2024-04-03 12:55:00</t>
  </si>
  <si>
    <t>2024-04-27 23:11:00</t>
  </si>
  <si>
    <t>2024-05-07 00:02:00</t>
  </si>
  <si>
    <t>2024-03-21 21:27:00</t>
  </si>
  <si>
    <t>2024-01-05 09:37:00</t>
  </si>
  <si>
    <t>2024-05-20 17:39:00</t>
  </si>
  <si>
    <t>2024-01-25 01:53:00</t>
  </si>
  <si>
    <t>2024-05-14 15:24:00</t>
  </si>
  <si>
    <t>2024-01-12 04:14:00</t>
  </si>
  <si>
    <t>2024-03-03 22:07:00</t>
  </si>
  <si>
    <t>2024-04-04 04:41:00</t>
  </si>
  <si>
    <t>2024-04-30 07:49:00</t>
  </si>
  <si>
    <t>2024-04-24 06:59:00</t>
  </si>
  <si>
    <t>2024-05-12 20:11:00</t>
  </si>
  <si>
    <t>2024-03-05 02:49:00</t>
  </si>
  <si>
    <t>2024-05-26 14:14:00</t>
  </si>
  <si>
    <t>2024-03-22 19:39:00</t>
  </si>
  <si>
    <t>2024-02-15 09:53:00</t>
  </si>
  <si>
    <t>2024-04-09 22:37:00</t>
  </si>
  <si>
    <t>2024-02-21 02:13:00</t>
  </si>
  <si>
    <t>2024-05-04 18:55:00</t>
  </si>
  <si>
    <t>2024-05-22 10:31:00</t>
  </si>
  <si>
    <t>2024-04-19 10:50:00</t>
  </si>
  <si>
    <t>2024-03-27 23:01:00</t>
  </si>
  <si>
    <t>2024-02-10 10:28:00</t>
  </si>
  <si>
    <t>2024-03-07 17:44:00</t>
  </si>
  <si>
    <t>2024-03-16 00:58:00</t>
  </si>
  <si>
    <t>2024-04-25 04:37:00</t>
  </si>
  <si>
    <t>2024-02-14 00:27:00</t>
  </si>
  <si>
    <t>2024-05-23 18:44:00</t>
  </si>
  <si>
    <t>2024-01-18 07:48:00</t>
  </si>
  <si>
    <t>2024-01-18 01:48:00</t>
  </si>
  <si>
    <t>2024-03-10 07:56:00</t>
  </si>
  <si>
    <t>2024-02-11 13:31:00</t>
  </si>
  <si>
    <t>2024-04-28 14:38:00</t>
  </si>
  <si>
    <t>2024-01-31 10:14:00</t>
  </si>
  <si>
    <t>2024-01-24 08:53:00</t>
  </si>
  <si>
    <t>2024-03-06 13:02:00</t>
  </si>
  <si>
    <t>2024-01-10 04:30:00</t>
  </si>
  <si>
    <t>2024-03-10 20:07:00</t>
  </si>
  <si>
    <t>2024-01-21 03:50:00</t>
  </si>
  <si>
    <t>2024-01-02 14:52:00</t>
  </si>
  <si>
    <t>2024-02-19 00:42:00</t>
  </si>
  <si>
    <t>2024-05-07 10:03:00</t>
  </si>
  <si>
    <t>2024-05-29 15:15:00</t>
  </si>
  <si>
    <t>2024-01-07 19:48:00</t>
  </si>
  <si>
    <t>2024-04-24 01:07:00</t>
  </si>
  <si>
    <t>2024-03-04 16:01:00</t>
  </si>
  <si>
    <t>2024-04-16 07:21:00</t>
  </si>
  <si>
    <t>2024-02-27 21:47:00</t>
  </si>
  <si>
    <t>2024-04-25 18:57:00</t>
  </si>
  <si>
    <t>2024-01-20 15:44:00</t>
  </si>
  <si>
    <t>2024-01-02 15:25:00</t>
  </si>
  <si>
    <t>2024-02-26 19:31:00</t>
  </si>
  <si>
    <t>2024-02-18 08:18:00</t>
  </si>
  <si>
    <t>2024-01-19 02:26:00</t>
  </si>
  <si>
    <t>2024-01-16 17:04:00</t>
  </si>
  <si>
    <t>2024-04-19 21:54:00</t>
  </si>
  <si>
    <t>2024-03-10 23:04:00</t>
  </si>
  <si>
    <t>2024-05-17 02:59:00</t>
  </si>
  <si>
    <t>2024-01-11 19:54:00</t>
  </si>
  <si>
    <t>2024-02-03 00:48:00</t>
  </si>
  <si>
    <t>2024-02-16 15:37:00</t>
  </si>
  <si>
    <t>2024-01-12 02:11:00</t>
  </si>
  <si>
    <t>2024-02-21 15:03:00</t>
  </si>
  <si>
    <t>2024-03-20 06:14:00</t>
  </si>
  <si>
    <t>2024-03-23 10:17:00</t>
  </si>
  <si>
    <t>2024-04-19 21:57:00</t>
  </si>
  <si>
    <t>2024-01-31 10:54:00</t>
  </si>
  <si>
    <t>2024-04-20 16:18:00</t>
  </si>
  <si>
    <t>2024-02-22 06:28:00</t>
  </si>
  <si>
    <t>2024-04-20 21:01:00</t>
  </si>
  <si>
    <t>2024-03-24 22:39:00</t>
  </si>
  <si>
    <t>2024-02-23 11:46:00</t>
  </si>
  <si>
    <t>2024-04-13 07:34:00</t>
  </si>
  <si>
    <t>2024-01-16 22:31:00</t>
  </si>
  <si>
    <t>2024-01-16 20:35:00</t>
  </si>
  <si>
    <t>2024-04-05 08:53:00</t>
  </si>
  <si>
    <t>2024-05-21 09:50:00</t>
  </si>
  <si>
    <t>2024-03-15 03:59:00</t>
  </si>
  <si>
    <t>2024-03-20 07:06:00</t>
  </si>
  <si>
    <t>2024-02-18 04:44:00</t>
  </si>
  <si>
    <t>2024-03-22 16:14:00</t>
  </si>
  <si>
    <t>2024-03-19 08:53:00</t>
  </si>
  <si>
    <t>2024-01-21 22:53:00</t>
  </si>
  <si>
    <t>2024-02-13 18:46:00</t>
  </si>
  <si>
    <t>2024-04-01 18:07:00</t>
  </si>
  <si>
    <t>2024-05-01 19:02:00</t>
  </si>
  <si>
    <t>2024-04-22 13:36:00</t>
  </si>
  <si>
    <t>2024-04-25 19:55:00</t>
  </si>
  <si>
    <t>2024-02-11 00:27:00</t>
  </si>
  <si>
    <t>2024-02-21 18:03:00</t>
  </si>
  <si>
    <t>2024-05-11 09:30:00</t>
  </si>
  <si>
    <t>2024-05-30 06:51:00</t>
  </si>
  <si>
    <t>2024-04-26 12:52:00</t>
  </si>
  <si>
    <t>2024-02-25 09:42:00</t>
  </si>
  <si>
    <t>2024-05-02 11:03:00</t>
  </si>
  <si>
    <t>2024-01-09 13:49:00</t>
  </si>
  <si>
    <t>2024-04-20 05:03:00</t>
  </si>
  <si>
    <t>2024-03-14 01:22:00</t>
  </si>
  <si>
    <t>2024-02-18 01:46:00</t>
  </si>
  <si>
    <t>2024-02-10 14:13:00</t>
  </si>
  <si>
    <t>2024-03-06 01:10:00</t>
  </si>
  <si>
    <t>2024-03-09 21:51:00</t>
  </si>
  <si>
    <t>2024-03-25 04:21:00</t>
  </si>
  <si>
    <t>2024-04-07 02:42:00</t>
  </si>
  <si>
    <t>2024-02-08 13:41:00</t>
  </si>
  <si>
    <t>2024-03-03 05:09:00</t>
  </si>
  <si>
    <t>2024-03-31 20:31:00</t>
  </si>
  <si>
    <t>2024-05-19 20:25:00</t>
  </si>
  <si>
    <t>2024-03-06 02:37:00</t>
  </si>
  <si>
    <t>2024-04-17 15:17:00</t>
  </si>
  <si>
    <t>2024-04-22 20:52:00</t>
  </si>
  <si>
    <t>2024-02-19 12:17:00</t>
  </si>
  <si>
    <t>2024-03-11 00:20:00</t>
  </si>
  <si>
    <t>2024-04-30 20:21:00</t>
  </si>
  <si>
    <t>2024-05-09 04:06:00</t>
  </si>
  <si>
    <t>2024-02-16 06:35:00</t>
  </si>
  <si>
    <t>2024-02-15 17:32:00</t>
  </si>
  <si>
    <t>2024-05-09 15:48:00</t>
  </si>
  <si>
    <t>2024-03-27 13:48:00</t>
  </si>
  <si>
    <t>2024-02-17 22:26:00</t>
  </si>
  <si>
    <t>2024-05-22 16:23:00</t>
  </si>
  <si>
    <t>2024-01-22 09:55:00</t>
  </si>
  <si>
    <t>2024-03-29 13:58:00</t>
  </si>
  <si>
    <t>2024-05-05 04:18:00</t>
  </si>
  <si>
    <t>2024-02-12 07:18:00</t>
  </si>
  <si>
    <t>2024-03-07 05:13:00</t>
  </si>
  <si>
    <t>2024-03-29 15:56:00</t>
  </si>
  <si>
    <t>2024-01-20 02:55:00</t>
  </si>
  <si>
    <t>2024-03-28 18:12:00</t>
  </si>
  <si>
    <t>2024-04-13 22:41:00</t>
  </si>
  <si>
    <t>2024-01-07 02:06:00</t>
  </si>
  <si>
    <t>2024-01-18 18:49:00</t>
  </si>
  <si>
    <t>2024-05-28 12:45:00</t>
  </si>
  <si>
    <t>2024-05-12 13:59:00</t>
  </si>
  <si>
    <t>2024-04-07 20:24:00</t>
  </si>
  <si>
    <t>2024-02-22 15:20:00</t>
  </si>
  <si>
    <t>2024-05-05 09:00:00</t>
  </si>
  <si>
    <t>2024-04-06 12:43:00</t>
  </si>
  <si>
    <t>2024-03-28 21:00:00</t>
  </si>
  <si>
    <t>2024-05-23 14:20:00</t>
  </si>
  <si>
    <t>2024-02-13 18:36:00</t>
  </si>
  <si>
    <t>2024-01-03 01:20:00</t>
  </si>
  <si>
    <t>2024-04-03 05:04:00</t>
  </si>
  <si>
    <t>2024-01-10 05:22:00</t>
  </si>
  <si>
    <t>2024-04-16 14:27:00</t>
  </si>
  <si>
    <t>2024-01-10 03:12:00</t>
  </si>
  <si>
    <t>2024-01-09 02:19:00</t>
  </si>
  <si>
    <t>2024-03-26 23:20:00</t>
  </si>
  <si>
    <t>2024-05-12 09:46:00</t>
  </si>
  <si>
    <t>2024-01-01 20:26:00</t>
  </si>
  <si>
    <t>2024-05-14 18:16:00</t>
  </si>
  <si>
    <t>2024-05-18 16:15:00</t>
  </si>
  <si>
    <t>2024-02-05 03:51:00</t>
  </si>
  <si>
    <t>2024-05-28 13:50:00</t>
  </si>
  <si>
    <t>2024-05-16 07:45:00</t>
  </si>
  <si>
    <t>2024-03-12 16:44:00</t>
  </si>
  <si>
    <t>2024-01-03 12:52:00</t>
  </si>
  <si>
    <t>2024-02-14 11:41:00</t>
  </si>
  <si>
    <t>2024-05-01 21:08:00</t>
  </si>
  <si>
    <t>2024-03-04 12:25:00</t>
  </si>
  <si>
    <t>2024-01-25 05:14:00</t>
  </si>
  <si>
    <t>2024-02-14 02:51:00</t>
  </si>
  <si>
    <t>2024-02-23 15:45:00</t>
  </si>
  <si>
    <t>2024-02-25 23:35:00</t>
  </si>
  <si>
    <t>2024-01-16 10:11:00</t>
  </si>
  <si>
    <t>2024-03-12 12:42:00</t>
  </si>
  <si>
    <t>2024-03-26 15:19:00</t>
  </si>
  <si>
    <t>2024-02-17 08:58:00</t>
  </si>
  <si>
    <t>2024-01-17 09:33:00</t>
  </si>
  <si>
    <t>2024-02-20 22:04:00</t>
  </si>
  <si>
    <t>2024-03-30 04:48:00</t>
  </si>
  <si>
    <t>2024-02-28 14:55:00</t>
  </si>
  <si>
    <t>2024-03-18 05:54:00</t>
  </si>
  <si>
    <t>2024-04-05 13:45:00</t>
  </si>
  <si>
    <t>2024-02-05 19:43:00</t>
  </si>
  <si>
    <t>2024-03-06 13:20:00</t>
  </si>
  <si>
    <t>2024-02-28 22:27:00</t>
  </si>
  <si>
    <t>2024-02-19 03:13:00</t>
  </si>
  <si>
    <t>2024-03-27 16:32:00</t>
  </si>
  <si>
    <t>2024-01-29 11:14:00</t>
  </si>
  <si>
    <t>2024-04-05 06:19:00</t>
  </si>
  <si>
    <t>2024-01-05 23:02:00</t>
  </si>
  <si>
    <t>2024-05-11 01:18:00</t>
  </si>
  <si>
    <t>2024-03-03 06:12:00</t>
  </si>
  <si>
    <t>2024-02-01 08:44:00</t>
  </si>
  <si>
    <t>2024-04-02 02:16:00</t>
  </si>
  <si>
    <t>2024-03-28 22:21:00</t>
  </si>
  <si>
    <t>2024-03-29 07:25:00</t>
  </si>
  <si>
    <t>2024-05-23 15:56:00</t>
  </si>
  <si>
    <t>2024-04-29 10:39:00</t>
  </si>
  <si>
    <t>2024-02-14 21:36:00</t>
  </si>
  <si>
    <t>2024-02-21 07:16:00</t>
  </si>
  <si>
    <t>2024-04-01 11:48:00</t>
  </si>
  <si>
    <t>2024-04-19 18:44:00</t>
  </si>
  <si>
    <t>2024-01-16 03:57:00</t>
  </si>
  <si>
    <t>2024-02-19 14:36:00</t>
  </si>
  <si>
    <t>2024-04-08 21:06:00</t>
  </si>
  <si>
    <t>2024-05-24 12:32:00</t>
  </si>
  <si>
    <t>2024-03-18 03:06:00</t>
  </si>
  <si>
    <t>2024-05-19 16:02:00</t>
  </si>
  <si>
    <t>2024-02-14 01:42:00</t>
  </si>
  <si>
    <t>2024-02-17 11:57:00</t>
  </si>
  <si>
    <t>2024-01-05 22:26:00</t>
  </si>
  <si>
    <t>2024-03-31 12:42:00</t>
  </si>
  <si>
    <t>2024-04-29 10:01:00</t>
  </si>
  <si>
    <t>2024-02-26 14:12:00</t>
  </si>
  <si>
    <t>2024-02-15 00:39:00</t>
  </si>
  <si>
    <t>2024-05-10 05:12:00</t>
  </si>
  <si>
    <t>2024-01-16 19:51:00</t>
  </si>
  <si>
    <t>2024-05-23 23:33:00</t>
  </si>
  <si>
    <t>2024-02-06 11:07:00</t>
  </si>
  <si>
    <t>2024-03-15 15:22:00</t>
  </si>
  <si>
    <t>2024-03-04 18:53:00</t>
  </si>
  <si>
    <t>2024-05-20 19:33:00</t>
  </si>
  <si>
    <t>2024-02-22 21:51:00</t>
  </si>
  <si>
    <t>2024-01-13 09:41:00</t>
  </si>
  <si>
    <t>2024-03-14 18:20:00</t>
  </si>
  <si>
    <t>2024-03-13 07:06:00</t>
  </si>
  <si>
    <t>2024-03-05 13:56:00</t>
  </si>
  <si>
    <t>2024-01-05 01:52:00</t>
  </si>
  <si>
    <t>2024-05-05 20:29:00</t>
  </si>
  <si>
    <t>2024-05-19 00:56:00</t>
  </si>
  <si>
    <t>2024-01-22 16:46:00</t>
  </si>
  <si>
    <t>2024-05-24 07:17:00</t>
  </si>
  <si>
    <t>2024-02-20 13:08:00</t>
  </si>
  <si>
    <t>2024-04-08 11:45:00</t>
  </si>
  <si>
    <t>2024-02-21 23:40:00</t>
  </si>
  <si>
    <t>2024-01-22 08:13:00</t>
  </si>
  <si>
    <t>2024-02-12 19:50:00</t>
  </si>
  <si>
    <t>2024-02-04 16:39:00</t>
  </si>
  <si>
    <t>2024-03-20 08:02:00</t>
  </si>
  <si>
    <t>2024-03-04 20:17:00</t>
  </si>
  <si>
    <t>2024-03-11 12:58:00</t>
  </si>
  <si>
    <t>2024-03-10 12:59:00</t>
  </si>
  <si>
    <t>2024-01-10 12:52:00</t>
  </si>
  <si>
    <t>2024-02-05 05:49:00</t>
  </si>
  <si>
    <t>2024-02-21 04:08:00</t>
  </si>
  <si>
    <t>2024-04-28 20:30:00</t>
  </si>
  <si>
    <t>2024-02-29 22:56:00</t>
  </si>
  <si>
    <t>2024-02-22 20:51:00</t>
  </si>
  <si>
    <t>2024-01-07 02:14:00</t>
  </si>
  <si>
    <t>2024-03-20 21:55:00</t>
  </si>
  <si>
    <t>2024-03-21 15:24:00</t>
  </si>
  <si>
    <t>2024-02-19 17:36:00</t>
  </si>
  <si>
    <t>2024-03-19 01:34:00</t>
  </si>
  <si>
    <t>2024-02-17 20:05:00</t>
  </si>
  <si>
    <t>2024-02-29 12:54:00</t>
  </si>
  <si>
    <t>2024-05-09 23:20:00</t>
  </si>
  <si>
    <t>2024-05-09 14:56:00</t>
  </si>
  <si>
    <t>2024-02-12 01:33:00</t>
  </si>
  <si>
    <t>2024-01-05 08:47:00</t>
  </si>
  <si>
    <t>2024-04-11 19:38:00</t>
  </si>
  <si>
    <t>2024-04-20 02:52:00</t>
  </si>
  <si>
    <t>2024-03-14 23:56:00</t>
  </si>
  <si>
    <t>2024-02-26 03:11:00</t>
  </si>
  <si>
    <t>2024-02-29 05:46:00</t>
  </si>
  <si>
    <t>2024-04-23 13:28:00</t>
  </si>
  <si>
    <t>2024-01-30 01:45:00</t>
  </si>
  <si>
    <t>2024-04-16 14:12:00</t>
  </si>
  <si>
    <t>2024-04-19 10:15:00</t>
  </si>
  <si>
    <t>2024-05-16 23:24:00</t>
  </si>
  <si>
    <t>2024-03-06 15:16:00</t>
  </si>
  <si>
    <t>2024-04-15 17:29:00</t>
  </si>
  <si>
    <t>2024-04-10 17:16:00</t>
  </si>
  <si>
    <t>2024-05-20 01:58:00</t>
  </si>
  <si>
    <t>2024-05-09 20:31:00</t>
  </si>
  <si>
    <t>2024-02-29 08:19:00</t>
  </si>
  <si>
    <t>2024-05-24 06:07:00</t>
  </si>
  <si>
    <t>2024-04-27 14:25:00</t>
  </si>
  <si>
    <t>2024-02-19 04:23:00</t>
  </si>
  <si>
    <t>2024-03-22 02:47:00</t>
  </si>
  <si>
    <t>2024-02-24 13:45:00</t>
  </si>
  <si>
    <t>2024-01-06 18:18:00</t>
  </si>
  <si>
    <t>2024-04-05 03:54:00</t>
  </si>
  <si>
    <t>2024-04-03 06:04:00</t>
  </si>
  <si>
    <t>2024-04-27 07:34:00</t>
  </si>
  <si>
    <t>2024-05-16 09:18:00</t>
  </si>
  <si>
    <t>2024-01-14 18:06:00</t>
  </si>
  <si>
    <t>2024-04-02 21:11:00</t>
  </si>
  <si>
    <t>2024-01-31 06:46:00</t>
  </si>
  <si>
    <t>2024-04-05 16:00:00</t>
  </si>
  <si>
    <t>2024-01-12 22:52:00</t>
  </si>
  <si>
    <t>2024-04-08 12:30:00</t>
  </si>
  <si>
    <t>2024-01-25 17:23:00</t>
  </si>
  <si>
    <t>2024-05-03 20:18:00</t>
  </si>
  <si>
    <t>2024-04-14 09:10:00</t>
  </si>
  <si>
    <t>2024-01-10 03:20:00</t>
  </si>
  <si>
    <t>2024-04-10 15:34:00</t>
  </si>
  <si>
    <t>2024-02-29 14:38:00</t>
  </si>
  <si>
    <t>2024-03-31 04:38:00</t>
  </si>
  <si>
    <t>2024-01-18 04:45:00</t>
  </si>
  <si>
    <t>2024-04-03 22:11:00</t>
  </si>
  <si>
    <t>2024-03-13 04:54:00</t>
  </si>
  <si>
    <t>2024-05-09 07:52:00</t>
  </si>
  <si>
    <t>2024-02-27 15:32:00</t>
  </si>
  <si>
    <t>2024-03-24 17:21:00</t>
  </si>
  <si>
    <t>2024-01-25 07:00:00</t>
  </si>
  <si>
    <t>2024-01-25 00:00:00</t>
  </si>
  <si>
    <t>2024-03-30 07:02:00</t>
  </si>
  <si>
    <t>2024-04-11 19:21:00</t>
  </si>
  <si>
    <t>2024-03-24 01:23:00</t>
  </si>
  <si>
    <t>2024-02-23 14:24:00</t>
  </si>
  <si>
    <t>2024-02-10 10:23:00</t>
  </si>
  <si>
    <t>2024-04-09 19:19:00</t>
  </si>
  <si>
    <t>2024-02-02 22:55:00</t>
  </si>
  <si>
    <t>2024-03-13 04:17:00</t>
  </si>
  <si>
    <t>2024-05-10 04:38:00</t>
  </si>
  <si>
    <t>2024-01-25 19:58:00</t>
  </si>
  <si>
    <t>2024-01-09 16:00:00</t>
  </si>
  <si>
    <t>2024-04-26 05:39:00</t>
  </si>
  <si>
    <t>2024-02-06 10:47:00</t>
  </si>
  <si>
    <t>2024-03-09 21:26:00</t>
  </si>
  <si>
    <t>2024-05-13 00:51:00</t>
  </si>
  <si>
    <t>2024-01-12 09:07:00</t>
  </si>
  <si>
    <t>2024-01-03 01:16:00</t>
  </si>
  <si>
    <t>2024-03-29 14:15:00</t>
  </si>
  <si>
    <t>2024-03-02 00:04:00</t>
  </si>
  <si>
    <t>2024-01-16 02:08:00</t>
  </si>
  <si>
    <t>2024-02-08 02:58:00</t>
  </si>
  <si>
    <t>2024-03-21 19:32:00</t>
  </si>
  <si>
    <t>2024-04-20 00:35:00</t>
  </si>
  <si>
    <t>2024-05-10 17:50:00</t>
  </si>
  <si>
    <t>2024-05-01 22:36:00</t>
  </si>
  <si>
    <t>2024-04-16 18:41:00</t>
  </si>
  <si>
    <t>2024-04-01 01:57:00</t>
  </si>
  <si>
    <t>2024-02-07 18:46:00</t>
  </si>
  <si>
    <t>2024-04-21 21:40:00</t>
  </si>
  <si>
    <t>2024-04-20 13:24:00</t>
  </si>
  <si>
    <t>2024-02-22 18:38:00</t>
  </si>
  <si>
    <t>2024-04-15 13:37:00</t>
  </si>
  <si>
    <t>2024-02-14 14:12:00</t>
  </si>
  <si>
    <t>2024-05-24 06:41:00</t>
  </si>
  <si>
    <t>2024-04-07 05:51:00</t>
  </si>
  <si>
    <t>2024-02-07 21:44:00</t>
  </si>
  <si>
    <t>2024-03-12 03:03:00</t>
  </si>
  <si>
    <t>2024-01-12 05:40:00</t>
  </si>
  <si>
    <t>2024-01-26 09:27:00</t>
  </si>
  <si>
    <t>2024-02-28 09:21:00</t>
  </si>
  <si>
    <t>2024-02-28 21:45:00</t>
  </si>
  <si>
    <t>2024-03-19 20:39:00</t>
  </si>
  <si>
    <t>2024-02-04 02:19:00</t>
  </si>
  <si>
    <t>2024-02-10 15:48:00</t>
  </si>
  <si>
    <t>2024-02-09 15:50:00</t>
  </si>
  <si>
    <t>2024-03-02 18:57:00</t>
  </si>
  <si>
    <t>2024-02-28 03:00:00</t>
  </si>
  <si>
    <t>2024-05-05 08:40:00</t>
  </si>
  <si>
    <t>2024-01-03 15:47:00</t>
  </si>
  <si>
    <t>2024-05-08 23:07:00</t>
  </si>
  <si>
    <t>2024-01-24 06:20:00</t>
  </si>
  <si>
    <t>2024-01-18 04:25:00</t>
  </si>
  <si>
    <t>2024-01-29 00:27:00</t>
  </si>
  <si>
    <t>2024-04-21 11:22:00</t>
  </si>
  <si>
    <t>2024-01-07 17:53:00</t>
  </si>
  <si>
    <t>2024-04-29 00:37:00</t>
  </si>
  <si>
    <t>2024-03-24 19:40:00</t>
  </si>
  <si>
    <t>2024-02-08 10:50:00</t>
  </si>
  <si>
    <t>2024-01-03 15:42:00</t>
  </si>
  <si>
    <t>2024-04-18 16:14:00</t>
  </si>
  <si>
    <t>2024-03-17 01:44:00</t>
  </si>
  <si>
    <t>2024-05-06 01:21:00</t>
  </si>
  <si>
    <t>2024-05-21 14:24:00</t>
  </si>
  <si>
    <t>2024-03-07 11:06:00</t>
  </si>
  <si>
    <t>2024-05-03 13:16:00</t>
  </si>
  <si>
    <t>2024-01-10 12:21:00</t>
  </si>
  <si>
    <t>2024-05-19 14:09:00</t>
  </si>
  <si>
    <t>2024-05-05 12:11:00</t>
  </si>
  <si>
    <t>2024-05-14 07:57:00</t>
  </si>
  <si>
    <t>2024-04-01 04:07:00</t>
  </si>
  <si>
    <t>2024-02-03 00:30:00</t>
  </si>
  <si>
    <t>2024-04-06 11:25:00</t>
  </si>
  <si>
    <t>2024-04-12 12:50:00</t>
  </si>
  <si>
    <t>2024-01-14 17:22:00</t>
  </si>
  <si>
    <t>2024-01-10 02:44:00</t>
  </si>
  <si>
    <t>2024-05-07 23:15:00</t>
  </si>
  <si>
    <t>2024-05-05 13:54:00</t>
  </si>
  <si>
    <t>2024-03-01 16:24:00</t>
  </si>
  <si>
    <t>2024-03-25 11:06:00</t>
  </si>
  <si>
    <t>2024-01-04 09:57:00</t>
  </si>
  <si>
    <t>2024-05-01 16:35:00</t>
  </si>
  <si>
    <t>2024-02-27 01:12:00</t>
  </si>
  <si>
    <t>2024-05-11 17:05:00</t>
  </si>
  <si>
    <t>2024-01-21 07:36:00</t>
  </si>
  <si>
    <t>2024-04-08 01:47:00</t>
  </si>
  <si>
    <t>2024-02-07 23:39:00</t>
  </si>
  <si>
    <t>2024-01-21 13:24:00</t>
  </si>
  <si>
    <t>2024-04-25 22:21:00</t>
  </si>
  <si>
    <t>2024-04-05 03:29:00</t>
  </si>
  <si>
    <t>2024-01-22 04:02:00</t>
  </si>
  <si>
    <t>2024-05-01 22:21:00</t>
  </si>
  <si>
    <t>2024-03-15 20:19:00</t>
  </si>
  <si>
    <t>2024-05-15 02:26:00</t>
  </si>
  <si>
    <t>2024-02-26 23:02:00</t>
  </si>
  <si>
    <t>2024-01-09 08:13:00</t>
  </si>
  <si>
    <t>2024-01-21 23:12:00</t>
  </si>
  <si>
    <t>2024-03-04 10:10:00</t>
  </si>
  <si>
    <t>2024-03-12 20:43:00</t>
  </si>
  <si>
    <t>2024-02-06 14:33:00</t>
  </si>
  <si>
    <t>2024-02-07 20:22:00</t>
  </si>
  <si>
    <t>2024-01-18 13:04:00</t>
  </si>
  <si>
    <t>2024-01-14 19:03:00</t>
  </si>
  <si>
    <t>2024-03-20 09:41:00</t>
  </si>
  <si>
    <t>2024-04-05 17:09:00</t>
  </si>
  <si>
    <t>2024-04-01 12:57:00</t>
  </si>
  <si>
    <t>2024-03-08 22:50:00</t>
  </si>
  <si>
    <t>2024-05-21 07:49:00</t>
  </si>
  <si>
    <t>2024-05-15 16:46:00</t>
  </si>
  <si>
    <t>2024-02-28 10:52:00</t>
  </si>
  <si>
    <t>2024-02-05 14:42:00</t>
  </si>
  <si>
    <t>2024-04-12 00:31:00</t>
  </si>
  <si>
    <t>2024-03-06 00:50:00</t>
  </si>
  <si>
    <t>2024-02-26 05:41:00</t>
  </si>
  <si>
    <t>2024-05-21 15:50:00</t>
  </si>
  <si>
    <t>2024-01-08 08:02:00</t>
  </si>
  <si>
    <t>2024-01-02 13:07:00</t>
  </si>
  <si>
    <t>2024-04-23 07:06:00</t>
  </si>
  <si>
    <t>2024-01-16 12:34:00</t>
  </si>
  <si>
    <t>2024-04-11 09:38:00</t>
  </si>
  <si>
    <t>2024-03-19 11:17:00</t>
  </si>
  <si>
    <t>2024-02-23 13:25:00</t>
  </si>
  <si>
    <t>2024-05-25 04:30:00</t>
  </si>
  <si>
    <t>2024-03-08 13:04:00</t>
  </si>
  <si>
    <t>2024-01-04 22:55:00</t>
  </si>
  <si>
    <t>2024-04-29 08:21:00</t>
  </si>
  <si>
    <t>2024-02-16 08:46:00</t>
  </si>
  <si>
    <t>2024-02-08 09:24:00</t>
  </si>
  <si>
    <t>2024-04-24 23:05:00</t>
  </si>
  <si>
    <t>2024-02-26 20:52:00</t>
  </si>
  <si>
    <t>2024-01-30 15:59:00</t>
  </si>
  <si>
    <t>2024-03-13 04:52:00</t>
  </si>
  <si>
    <t>2024-01-22 15:01:00</t>
  </si>
  <si>
    <t>2024-02-22 13:27:00</t>
  </si>
  <si>
    <t>2024-02-26 20:31:00</t>
  </si>
  <si>
    <t>2024-02-22 00:29:00</t>
  </si>
  <si>
    <t>2024-03-20 13:15:00</t>
  </si>
  <si>
    <t>2024-01-15 09:24:00</t>
  </si>
  <si>
    <t>2024-01-01 12:10:00</t>
  </si>
  <si>
    <t>2024-04-11 06:54:00</t>
  </si>
  <si>
    <t>2024-05-24 03:01:00</t>
  </si>
  <si>
    <t>2024-04-10 13:57:00</t>
  </si>
  <si>
    <t>2024-04-02 22:26:00</t>
  </si>
  <si>
    <t>2024-04-26 07:03:00</t>
  </si>
  <si>
    <t>2024-04-02 18:06:00</t>
  </si>
  <si>
    <t>2024-05-11 20:46:00</t>
  </si>
  <si>
    <t>2024-02-01 18:28:00</t>
  </si>
  <si>
    <t>2024-05-05 08:34:00</t>
  </si>
  <si>
    <t>2024-04-03 03:33:00</t>
  </si>
  <si>
    <t>2024-02-21 13:32:00</t>
  </si>
  <si>
    <t>2024-03-25 16:22:00</t>
  </si>
  <si>
    <t>2024-04-20 16:49:00</t>
  </si>
  <si>
    <t>2024-03-03 20:50:00</t>
  </si>
  <si>
    <t>2024-05-11 22:47:00</t>
  </si>
  <si>
    <t>2024-04-16 13:51:00</t>
  </si>
  <si>
    <t>2024-02-13 01:01:00</t>
  </si>
  <si>
    <t>2024-04-28 07:09:00</t>
  </si>
  <si>
    <t>2024-05-14 10:52:00</t>
  </si>
  <si>
    <t>2024-03-02 04:15:00</t>
  </si>
  <si>
    <t>2024-05-29 14:16:00</t>
  </si>
  <si>
    <t>2024-02-24 08:42:00</t>
  </si>
  <si>
    <t>2024-02-23 15:24:00</t>
  </si>
  <si>
    <t>2024-05-29 09:00:00</t>
  </si>
  <si>
    <t>2024-01-09 02:15:00</t>
  </si>
  <si>
    <t>2024-05-25 14:52:00</t>
  </si>
  <si>
    <t>2024-05-20 01:49:00</t>
  </si>
  <si>
    <t>2024-04-23 19:44:00</t>
  </si>
  <si>
    <t>2024-05-17 16:35:00</t>
  </si>
  <si>
    <t>2024-03-06 19:30:00</t>
  </si>
  <si>
    <t>2024-02-04 06:45:00</t>
  </si>
  <si>
    <t>2024-01-10 01:27:00</t>
  </si>
  <si>
    <t>2024-01-22 15:10:00</t>
  </si>
  <si>
    <t>2024-03-29 08:06:00</t>
  </si>
  <si>
    <t>2024-02-28 11:10:00</t>
  </si>
  <si>
    <t>2024-03-08 16:02:00</t>
  </si>
  <si>
    <t>2024-01-14 21:14:00</t>
  </si>
  <si>
    <t>2024-04-21 16:38:00</t>
  </si>
  <si>
    <t>2024-05-26 16:00:00</t>
  </si>
  <si>
    <t>2024-03-01 15:57:00</t>
  </si>
  <si>
    <t>2024-03-13 00:20:00</t>
  </si>
  <si>
    <t>2024-04-26 12:38:00</t>
  </si>
  <si>
    <t>2024-02-04 12:00:00</t>
  </si>
  <si>
    <t>2024-04-25 08:39:00</t>
  </si>
  <si>
    <t>2024-03-14 04:51:00</t>
  </si>
  <si>
    <t>2024-01-23 12:08:00</t>
  </si>
  <si>
    <t>2024-03-30 09:00:00</t>
  </si>
  <si>
    <t>2024-01-11 05:07:00</t>
  </si>
  <si>
    <t>2024-03-22 22:15:00</t>
  </si>
  <si>
    <t>2024-02-14 09:00:00</t>
  </si>
  <si>
    <t>2024-01-13 07:18:00</t>
  </si>
  <si>
    <t>2024-02-27 23:01:00</t>
  </si>
  <si>
    <t>2024-01-01 03:09:00</t>
  </si>
  <si>
    <t>2024-05-08 12:30:00</t>
  </si>
  <si>
    <t>2024-05-01 15:50:00</t>
  </si>
  <si>
    <t>2024-05-19 08:17:00</t>
  </si>
  <si>
    <t>2024-05-01 22:48:00</t>
  </si>
  <si>
    <t>2024-03-08 06:03:00</t>
  </si>
  <si>
    <t>2024-02-09 06:00:00</t>
  </si>
  <si>
    <t>2024-01-16 02:20:00</t>
  </si>
  <si>
    <t>2024-03-30 07:03:00</t>
  </si>
  <si>
    <t>2024-03-03 22:23:00</t>
  </si>
  <si>
    <t>2024-01-18 12:03:00</t>
  </si>
  <si>
    <t>2024-01-03 17:14:00</t>
  </si>
  <si>
    <t>2024-04-30 07:18:00</t>
  </si>
  <si>
    <t>2024-03-01 04:07:00</t>
  </si>
  <si>
    <t>2024-01-20 15:53:00</t>
  </si>
  <si>
    <t>2024-01-03 11:05:00</t>
  </si>
  <si>
    <t>2024-05-21 08:39:00</t>
  </si>
  <si>
    <t>2024-05-13 23:01:00</t>
  </si>
  <si>
    <t>2024-02-13 08:59:00</t>
  </si>
  <si>
    <t>2024-04-21 19:48:00</t>
  </si>
  <si>
    <t>2024-04-23 00:39:00</t>
  </si>
  <si>
    <t>2024-01-30 11:28:00</t>
  </si>
  <si>
    <t>2024-03-26 03:24:00</t>
  </si>
  <si>
    <t>2024-01-26 19:49:00</t>
  </si>
  <si>
    <t>2024-01-19 20:46:00</t>
  </si>
  <si>
    <t>2024-03-29 15:46:00</t>
  </si>
  <si>
    <t>2024-02-15 00:58:00</t>
  </si>
  <si>
    <t>2024-02-09 09:17:00</t>
  </si>
  <si>
    <t>2024-03-04 15:46:00</t>
  </si>
  <si>
    <t>2024-01-13 06:14:00</t>
  </si>
  <si>
    <t>2024-02-09 10:06:00</t>
  </si>
  <si>
    <t>2024-02-10 15:44:00</t>
  </si>
  <si>
    <t>2024-03-18 12:34:00</t>
  </si>
  <si>
    <t>2024-03-05 15:40:00</t>
  </si>
  <si>
    <t>2024-03-14 06:54:00</t>
  </si>
  <si>
    <t>2024-05-07 22:56:00</t>
  </si>
  <si>
    <t>2024-04-03 14:09:00</t>
  </si>
  <si>
    <t>2024-05-16 16:42:00</t>
  </si>
  <si>
    <t>2024-02-01 11:57:00</t>
  </si>
  <si>
    <t>2024-04-21 09:49:00</t>
  </si>
  <si>
    <t>2024-02-29 09:02:00</t>
  </si>
  <si>
    <t>2024-03-10 17:24:00</t>
  </si>
  <si>
    <t>2024-03-14 18:36:00</t>
  </si>
  <si>
    <t>2024-02-01 14:57:00</t>
  </si>
  <si>
    <t>2024-01-31 03:38:00</t>
  </si>
  <si>
    <t>2024-03-15 09:49:00</t>
  </si>
  <si>
    <t>2024-02-13 07:31:00</t>
  </si>
  <si>
    <t>2024-04-21 03:18:00</t>
  </si>
  <si>
    <t>2024-04-19 01:05:00</t>
  </si>
  <si>
    <t>2024-03-12 07:26:00</t>
  </si>
  <si>
    <t>2024-01-23 06:07:00</t>
  </si>
  <si>
    <t>2024-01-14 15:34:00</t>
  </si>
  <si>
    <t>2024-03-25 10:12:00</t>
  </si>
  <si>
    <t>2024-03-24 10:42:00</t>
  </si>
  <si>
    <t>2024-05-30 21:52:00</t>
  </si>
  <si>
    <t>2024-05-13 00:09:00</t>
  </si>
  <si>
    <t>2024-02-12 11:11:00</t>
  </si>
  <si>
    <t>2024-02-01 06:39:00</t>
  </si>
  <si>
    <t>2024-05-24 01:15:00</t>
  </si>
  <si>
    <t>2024-02-18 06:17:00</t>
  </si>
  <si>
    <t>2024-01-27 12:18:00</t>
  </si>
  <si>
    <t>2024-05-12 05:23:00</t>
  </si>
  <si>
    <t>2024-02-05 04:27:00</t>
  </si>
  <si>
    <t>2024-05-15 16:17:00</t>
  </si>
  <si>
    <t>2024-03-25 02:55:00</t>
  </si>
  <si>
    <t>2024-03-30 12:41:00</t>
  </si>
  <si>
    <t>2024-04-26 20:29:00</t>
  </si>
  <si>
    <t>2024-04-05 09:35:00</t>
  </si>
  <si>
    <t>2024-03-17 20:07:00</t>
  </si>
  <si>
    <t>2024-04-05 18:29:00</t>
  </si>
  <si>
    <t>2024-04-19 07:26:00</t>
  </si>
  <si>
    <t>2024-04-07 16:13:00</t>
  </si>
  <si>
    <t>2024-04-01 00:15:00</t>
  </si>
  <si>
    <t>2024-02-16 22:08:00</t>
  </si>
  <si>
    <t>2024-05-30 02:23:00</t>
  </si>
  <si>
    <t>2024-05-21 04:07:00</t>
  </si>
  <si>
    <t>2024-05-29 23:35:00</t>
  </si>
  <si>
    <t>2024-04-18 20:21:00</t>
  </si>
  <si>
    <t>2024-01-25 16:44:00</t>
  </si>
  <si>
    <t>2024-04-17 04:16:00</t>
  </si>
  <si>
    <t>2024-04-01 01:02:00</t>
  </si>
  <si>
    <t>2024-02-03 06:58:00</t>
  </si>
  <si>
    <t>2024-04-12 12:45:00</t>
  </si>
  <si>
    <t>2024-03-22 03:55:00</t>
  </si>
  <si>
    <t>2024-01-23 22:49:00</t>
  </si>
  <si>
    <t>2024-05-30 02:38:00</t>
  </si>
  <si>
    <t>2024-05-08 08:38:00</t>
  </si>
  <si>
    <t>2024-03-02 23:55:00</t>
  </si>
  <si>
    <t>2024-01-12 05:25:00</t>
  </si>
  <si>
    <t>2024-03-01 06:52:00</t>
  </si>
  <si>
    <t>2024-04-07 20:58:00</t>
  </si>
  <si>
    <t>2024-01-23 05:33:00</t>
  </si>
  <si>
    <t>2024-02-03 08:29:00</t>
  </si>
  <si>
    <t>2024-03-31 14:15:00</t>
  </si>
  <si>
    <t>2024-03-07 06:17:00</t>
  </si>
  <si>
    <t>2024-05-16 04:10:00</t>
  </si>
  <si>
    <t>2024-05-18 08:26:00</t>
  </si>
  <si>
    <t>2024-04-08 17:16:00</t>
  </si>
  <si>
    <t>2024-03-13 20:39:00</t>
  </si>
  <si>
    <t>2024-04-17 10:30:00</t>
  </si>
  <si>
    <t>2024-03-23 05:23:00</t>
  </si>
  <si>
    <t>2024-03-10 16:32:00</t>
  </si>
  <si>
    <t>2024-03-16 01:42:00</t>
  </si>
  <si>
    <t>2024-03-11 03:08:00</t>
  </si>
  <si>
    <t>2024-02-04 17:21:00</t>
  </si>
  <si>
    <t>2024-04-07 16:38:00</t>
  </si>
  <si>
    <t>2024-01-31 23:20:00</t>
  </si>
  <si>
    <t>2024-01-31 21:31:00</t>
  </si>
  <si>
    <t>2024-02-03 11:26:00</t>
  </si>
  <si>
    <t>2024-04-01 18:47:00</t>
  </si>
  <si>
    <t>2024-04-19 13:52:00</t>
  </si>
  <si>
    <t>2024-03-17 10:31:00</t>
  </si>
  <si>
    <t>2024-05-12 03:23:00</t>
  </si>
  <si>
    <t>2024-02-25 11:12:00</t>
  </si>
  <si>
    <t>2024-05-04 01:40:00</t>
  </si>
  <si>
    <t>2024-04-20 22:57:00</t>
  </si>
  <si>
    <t>2024-01-03 19:02:00</t>
  </si>
  <si>
    <t>2024-02-14 04:36:00</t>
  </si>
  <si>
    <t>2024-02-13 21:27:00</t>
  </si>
  <si>
    <t>2024-02-08 03:47:00</t>
  </si>
  <si>
    <t>2024-02-07 20:39:00</t>
  </si>
  <si>
    <t>2024-02-13 07:39:00</t>
  </si>
  <si>
    <t>2024-04-18 22:11:00</t>
  </si>
  <si>
    <t>2024-05-18 01:58:00</t>
  </si>
  <si>
    <t>2024-02-03 06:54:00</t>
  </si>
  <si>
    <t>2024-02-23 12:52:00</t>
  </si>
  <si>
    <t>2024-05-07 10:37:00</t>
  </si>
  <si>
    <t>2024-02-05 16:30:00</t>
  </si>
  <si>
    <t>2024-03-15 13:57:00</t>
  </si>
  <si>
    <t>2024-02-26 01:22:00</t>
  </si>
  <si>
    <t>2024-04-20 02:54:00</t>
  </si>
  <si>
    <t>2024-04-17 03:48:00</t>
  </si>
  <si>
    <t>2024-04-20 09:44:00</t>
  </si>
  <si>
    <t>2024-02-03 23:08:00</t>
  </si>
  <si>
    <t>2024-01-10 05:01:00</t>
  </si>
  <si>
    <t>2024-04-25 22:50:00</t>
  </si>
  <si>
    <t>2024-02-05 14:11:00</t>
  </si>
  <si>
    <t>2024-05-17 01:42:00</t>
  </si>
  <si>
    <t>2024-05-23 10:13:00</t>
  </si>
  <si>
    <t>2024-04-30 06:12:00</t>
  </si>
  <si>
    <t>2024-05-09 11:48:00</t>
  </si>
  <si>
    <t>2024-03-25 22:10:00</t>
  </si>
  <si>
    <t>2024-05-11 03:43:00</t>
  </si>
  <si>
    <t>2024-02-17 14:10:00</t>
  </si>
  <si>
    <t>2024-04-18 05:29:00</t>
  </si>
  <si>
    <t>2024-02-29 02:48:00</t>
  </si>
  <si>
    <t>2024-05-19 12:49:00</t>
  </si>
  <si>
    <t>2024-04-13 18:00:00</t>
  </si>
  <si>
    <t>2024-02-26 09:14:00</t>
  </si>
  <si>
    <t>2024-02-19 02:28:00</t>
  </si>
  <si>
    <t>2024-01-10 11:57:00</t>
  </si>
  <si>
    <t>2024-01-05 04:35:00</t>
  </si>
  <si>
    <t>2024-03-25 16:29:00</t>
  </si>
  <si>
    <t>2024-05-17 00:05:00</t>
  </si>
  <si>
    <t>2024-01-03 02:00:00</t>
  </si>
  <si>
    <t>2024-04-20 10:08:00</t>
  </si>
  <si>
    <t>2024-05-28 19:31:00</t>
  </si>
  <si>
    <t>2024-01-05 19:38:00</t>
  </si>
  <si>
    <t>2024-01-06 05:18:00</t>
  </si>
  <si>
    <t>2024-05-10 06:44:00</t>
  </si>
  <si>
    <t>2024-03-23 09:38:00</t>
  </si>
  <si>
    <t>2024-03-06 21:08:00</t>
  </si>
  <si>
    <t>2024-03-09 21:06:00</t>
  </si>
  <si>
    <t>2024-05-23 21:47:00</t>
  </si>
  <si>
    <t>2024-05-25 01:44:00</t>
  </si>
  <si>
    <t>2024-01-07 14:24:00</t>
  </si>
  <si>
    <t>2024-05-27 20:57:00</t>
  </si>
  <si>
    <t>2024-01-01 04:59:00</t>
  </si>
  <si>
    <t>2024-05-17 12:50:00</t>
  </si>
  <si>
    <t>2024-04-22 04:01:00</t>
  </si>
  <si>
    <t>2024-01-20 07:12:00</t>
  </si>
  <si>
    <t>2024-02-25 23:05:00</t>
  </si>
  <si>
    <t>2024-03-16 22:44:00</t>
  </si>
  <si>
    <t>2024-03-14 21:05:00</t>
  </si>
  <si>
    <t>2024-03-17 06:00:00</t>
  </si>
  <si>
    <t>2024-02-10 12:32:00</t>
  </si>
  <si>
    <t>2024-01-21 18:54:00</t>
  </si>
  <si>
    <t>2024-05-21 14:03:00</t>
  </si>
  <si>
    <t>2024-02-15 22:05:00</t>
  </si>
  <si>
    <t>2024-02-12 12:31:00</t>
  </si>
  <si>
    <t>2024-05-30 10:14:00</t>
  </si>
  <si>
    <t>2024-05-30 21:20:00</t>
  </si>
  <si>
    <t>2024-04-14 17:22:00</t>
  </si>
  <si>
    <t>2024-01-25 01:05:00</t>
  </si>
  <si>
    <t>2024-05-19 13:50:00</t>
  </si>
  <si>
    <t>2024-02-18 02:34:00</t>
  </si>
  <si>
    <t>2024-02-16 21:18:00</t>
  </si>
  <si>
    <t>2024-03-07 00:30:00</t>
  </si>
  <si>
    <t>2024-05-13 13:35:00</t>
  </si>
  <si>
    <t>2024-03-13 11:44:00</t>
  </si>
  <si>
    <t>2024-04-24 11:50:00</t>
  </si>
  <si>
    <t>2024-04-01 02:57:00</t>
  </si>
  <si>
    <t>2024-05-30 16:16:00</t>
  </si>
  <si>
    <t>2024-02-08 09:36:00</t>
  </si>
  <si>
    <t>2024-03-01 19:36:00</t>
  </si>
  <si>
    <t>2024-03-09 20:44:00</t>
  </si>
  <si>
    <t>2024-05-07 19:40:00</t>
  </si>
  <si>
    <t>2024-02-22 10:10:00</t>
  </si>
  <si>
    <t>2024-05-17 04:43:00</t>
  </si>
  <si>
    <t>2024-04-12 22:25:00</t>
  </si>
  <si>
    <t>2024-05-27 12:34:00</t>
  </si>
  <si>
    <t>2024-04-05 11:13:00</t>
  </si>
  <si>
    <t>2024-02-07 03:10:00</t>
  </si>
  <si>
    <t>2024-01-31 07:28:00</t>
  </si>
  <si>
    <t>2024-05-18 06:15:00</t>
  </si>
  <si>
    <t>2024-05-09 08:13:00</t>
  </si>
  <si>
    <t>2024-02-28 07:56:00</t>
  </si>
  <si>
    <t>2024-02-17 05:58:00</t>
  </si>
  <si>
    <t>2024-01-16 23:27:00</t>
  </si>
  <si>
    <t>2024-05-27 02:15:00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</si>
</sst>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24"/>
      <color rgb="FF000000"/>
      <name val="Helvetica Neue"/>
      <family val="2"/>
    </font>
    <font>
      <sz val="18"/>
      <color rgb="FF000000"/>
      <name val="Helvetica Neue"/>
      <family val="2"/>
    </font>
    <font>
      <sz val="14"/>
      <color rgb="FF000000"/>
      <name val="Helvetica Neue"/>
      <family val="2"/>
    </font>
    <font>
      <sz val="13.5"/>
      <color rgb="FF000000"/>
      <name val="Helvetica Neue"/>
      <family val="2"/>
    </font>
    <font>
      <b/>
      <sz val="14"/>
      <color rgb="FF000000"/>
      <name val="Helvetica Neue"/>
      <family val="2"/>
    </font>
    <font>
      <sz val="12"/>
      <color rgb="FF000000"/>
      <name val="Menlo"/>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7" fillId="0" borderId="0" xfId="1"/>
    <xf numFmtId="0" fontId="6" fillId="0" borderId="0" xfId="0" applyFont="1"/>
    <xf numFmtId="49" fontId="0" fillId="0" borderId="0" xfId="0" applyNumberFormat="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raw.githubusercontent.com/Profession-AI/progetti-sql/refs/heads/main/Estrai%20indicatori%20chiave%20dal%20database%20di%20una%20piattaforma%20di%20trading%20con%20SQL/1000_Stock_Transactions.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9C71D-7143-0046-AEB9-0678F90D7421}">
  <dimension ref="A1:B1001"/>
  <sheetViews>
    <sheetView workbookViewId="0">
      <selection activeCell="B2" sqref="B2:B1001"/>
    </sheetView>
  </sheetViews>
  <sheetFormatPr baseColWidth="10" defaultRowHeight="16" x14ac:dyDescent="0.2"/>
  <cols>
    <col min="1" max="1" width="46.1640625" bestFit="1" customWidth="1"/>
    <col min="2" max="2" width="18" style="8" bestFit="1" customWidth="1"/>
  </cols>
  <sheetData>
    <row r="1" spans="1:2" x14ac:dyDescent="0.2">
      <c r="A1" t="s">
        <v>53</v>
      </c>
    </row>
    <row r="2" spans="1:2" x14ac:dyDescent="0.2">
      <c r="A2" t="s">
        <v>54</v>
      </c>
      <c r="B2" s="8" t="str">
        <f>RIGHT(A2,19)</f>
        <v>2024-05-13 09:32:00</v>
      </c>
    </row>
    <row r="3" spans="1:2" x14ac:dyDescent="0.2">
      <c r="A3" t="s">
        <v>55</v>
      </c>
      <c r="B3" s="8" t="str">
        <f t="shared" ref="B3:C66" si="0">RIGHT(A3,19)</f>
        <v>2024-05-09 16:43:00</v>
      </c>
    </row>
    <row r="4" spans="1:2" x14ac:dyDescent="0.2">
      <c r="A4" t="s">
        <v>56</v>
      </c>
      <c r="B4" s="8" t="str">
        <f t="shared" si="0"/>
        <v>2024-03-02 02:07:00</v>
      </c>
    </row>
    <row r="5" spans="1:2" x14ac:dyDescent="0.2">
      <c r="A5" t="s">
        <v>57</v>
      </c>
      <c r="B5" s="8" t="str">
        <f t="shared" si="0"/>
        <v>2024-03-21 00:09:00</v>
      </c>
    </row>
    <row r="6" spans="1:2" x14ac:dyDescent="0.2">
      <c r="A6" t="s">
        <v>58</v>
      </c>
      <c r="B6" s="8" t="str">
        <f t="shared" si="0"/>
        <v>2024-03-15 17:16:00</v>
      </c>
    </row>
    <row r="7" spans="1:2" x14ac:dyDescent="0.2">
      <c r="A7" t="s">
        <v>59</v>
      </c>
      <c r="B7" s="8" t="str">
        <f t="shared" si="0"/>
        <v>2024-05-11 23:29:00</v>
      </c>
    </row>
    <row r="8" spans="1:2" x14ac:dyDescent="0.2">
      <c r="A8" t="s">
        <v>60</v>
      </c>
      <c r="B8" s="8" t="str">
        <f t="shared" si="0"/>
        <v>2024-01-23 21:18:00</v>
      </c>
    </row>
    <row r="9" spans="1:2" x14ac:dyDescent="0.2">
      <c r="A9" t="s">
        <v>61</v>
      </c>
      <c r="B9" s="8" t="str">
        <f t="shared" si="0"/>
        <v>2024-01-19 17:33:00</v>
      </c>
    </row>
    <row r="10" spans="1:2" x14ac:dyDescent="0.2">
      <c r="A10" t="s">
        <v>62</v>
      </c>
      <c r="B10" s="8" t="str">
        <f t="shared" si="0"/>
        <v>2024-02-21 02:41:00</v>
      </c>
    </row>
    <row r="11" spans="1:2" x14ac:dyDescent="0.2">
      <c r="A11" t="s">
        <v>63</v>
      </c>
      <c r="B11" s="8" t="str">
        <f t="shared" si="0"/>
        <v>2024-04-19 20:21:00</v>
      </c>
    </row>
    <row r="12" spans="1:2" x14ac:dyDescent="0.2">
      <c r="A12" t="s">
        <v>64</v>
      </c>
      <c r="B12" s="8" t="str">
        <f t="shared" si="0"/>
        <v>2024-03-17 06:16:00</v>
      </c>
    </row>
    <row r="13" spans="1:2" x14ac:dyDescent="0.2">
      <c r="A13" t="s">
        <v>65</v>
      </c>
      <c r="B13" s="8" t="str">
        <f t="shared" si="0"/>
        <v>2024-05-24 18:16:00</v>
      </c>
    </row>
    <row r="14" spans="1:2" x14ac:dyDescent="0.2">
      <c r="A14" t="s">
        <v>66</v>
      </c>
      <c r="B14" s="8" t="str">
        <f t="shared" si="0"/>
        <v>2024-04-03 17:41:00</v>
      </c>
    </row>
    <row r="15" spans="1:2" x14ac:dyDescent="0.2">
      <c r="A15" t="s">
        <v>67</v>
      </c>
      <c r="B15" s="8" t="str">
        <f t="shared" si="0"/>
        <v>2024-02-03 08:04:00</v>
      </c>
    </row>
    <row r="16" spans="1:2" x14ac:dyDescent="0.2">
      <c r="A16" t="s">
        <v>68</v>
      </c>
      <c r="B16" s="8" t="str">
        <f t="shared" si="0"/>
        <v>2024-04-19 13:51:00</v>
      </c>
    </row>
    <row r="17" spans="1:2" x14ac:dyDescent="0.2">
      <c r="A17" t="s">
        <v>69</v>
      </c>
      <c r="B17" s="8" t="str">
        <f t="shared" si="0"/>
        <v>2024-02-07 07:39:00</v>
      </c>
    </row>
    <row r="18" spans="1:2" x14ac:dyDescent="0.2">
      <c r="A18" t="s">
        <v>70</v>
      </c>
      <c r="B18" s="8" t="str">
        <f t="shared" si="0"/>
        <v>2024-05-09 08:59:00</v>
      </c>
    </row>
    <row r="19" spans="1:2" x14ac:dyDescent="0.2">
      <c r="A19" t="s">
        <v>71</v>
      </c>
      <c r="B19" s="8" t="str">
        <f t="shared" si="0"/>
        <v>2024-05-10 07:01:00</v>
      </c>
    </row>
    <row r="20" spans="1:2" x14ac:dyDescent="0.2">
      <c r="A20" t="s">
        <v>72</v>
      </c>
      <c r="B20" s="8" t="str">
        <f t="shared" si="0"/>
        <v>2024-02-09 01:37:00</v>
      </c>
    </row>
    <row r="21" spans="1:2" x14ac:dyDescent="0.2">
      <c r="A21" t="s">
        <v>73</v>
      </c>
      <c r="B21" s="8" t="str">
        <f t="shared" si="0"/>
        <v>2024-05-06 18:19:00</v>
      </c>
    </row>
    <row r="22" spans="1:2" x14ac:dyDescent="0.2">
      <c r="A22" t="s">
        <v>74</v>
      </c>
      <c r="B22" s="8" t="str">
        <f t="shared" si="0"/>
        <v>2024-04-29 11:59:00</v>
      </c>
    </row>
    <row r="23" spans="1:2" x14ac:dyDescent="0.2">
      <c r="A23" t="s">
        <v>75</v>
      </c>
      <c r="B23" s="8" t="str">
        <f t="shared" si="0"/>
        <v>2024-05-11 15:53:00</v>
      </c>
    </row>
    <row r="24" spans="1:2" x14ac:dyDescent="0.2">
      <c r="A24" t="s">
        <v>76</v>
      </c>
      <c r="B24" s="8" t="str">
        <f t="shared" si="0"/>
        <v>2024-01-18 19:19:00</v>
      </c>
    </row>
    <row r="25" spans="1:2" x14ac:dyDescent="0.2">
      <c r="A25" t="s">
        <v>77</v>
      </c>
      <c r="B25" s="8" t="str">
        <f t="shared" si="0"/>
        <v>2024-01-06 15:02:00</v>
      </c>
    </row>
    <row r="26" spans="1:2" x14ac:dyDescent="0.2">
      <c r="A26" t="s">
        <v>78</v>
      </c>
      <c r="B26" s="8" t="str">
        <f t="shared" si="0"/>
        <v>2024-01-26 10:40:00</v>
      </c>
    </row>
    <row r="27" spans="1:2" x14ac:dyDescent="0.2">
      <c r="A27" t="s">
        <v>79</v>
      </c>
      <c r="B27" s="8" t="str">
        <f t="shared" si="0"/>
        <v>2024-02-27 22:09:00</v>
      </c>
    </row>
    <row r="28" spans="1:2" x14ac:dyDescent="0.2">
      <c r="A28" t="s">
        <v>80</v>
      </c>
      <c r="B28" s="8" t="str">
        <f t="shared" si="0"/>
        <v>2024-01-28 20:07:00</v>
      </c>
    </row>
    <row r="29" spans="1:2" x14ac:dyDescent="0.2">
      <c r="A29" t="s">
        <v>81</v>
      </c>
      <c r="B29" s="8" t="str">
        <f t="shared" si="0"/>
        <v>2024-03-18 05:33:00</v>
      </c>
    </row>
    <row r="30" spans="1:2" x14ac:dyDescent="0.2">
      <c r="A30" t="s">
        <v>82</v>
      </c>
      <c r="B30" s="8" t="str">
        <f t="shared" si="0"/>
        <v>2024-04-02 16:06:00</v>
      </c>
    </row>
    <row r="31" spans="1:2" x14ac:dyDescent="0.2">
      <c r="A31" t="s">
        <v>83</v>
      </c>
      <c r="B31" s="8" t="str">
        <f t="shared" si="0"/>
        <v>2024-03-10 07:59:00</v>
      </c>
    </row>
    <row r="32" spans="1:2" x14ac:dyDescent="0.2">
      <c r="A32" t="s">
        <v>84</v>
      </c>
      <c r="B32" s="8" t="str">
        <f t="shared" si="0"/>
        <v>2024-01-19 09:15:00</v>
      </c>
    </row>
    <row r="33" spans="1:2" x14ac:dyDescent="0.2">
      <c r="A33" t="s">
        <v>85</v>
      </c>
      <c r="B33" s="8" t="str">
        <f t="shared" si="0"/>
        <v>2024-02-06 17:23:00</v>
      </c>
    </row>
    <row r="34" spans="1:2" x14ac:dyDescent="0.2">
      <c r="A34" t="s">
        <v>86</v>
      </c>
      <c r="B34" s="8" t="str">
        <f t="shared" si="0"/>
        <v>2024-04-26 04:30:00</v>
      </c>
    </row>
    <row r="35" spans="1:2" x14ac:dyDescent="0.2">
      <c r="A35" t="s">
        <v>87</v>
      </c>
      <c r="B35" s="8" t="str">
        <f t="shared" si="0"/>
        <v>2024-01-26 16:03:00</v>
      </c>
    </row>
    <row r="36" spans="1:2" x14ac:dyDescent="0.2">
      <c r="A36" t="s">
        <v>88</v>
      </c>
      <c r="B36" s="8" t="str">
        <f t="shared" si="0"/>
        <v>2024-05-13 19:05:00</v>
      </c>
    </row>
    <row r="37" spans="1:2" x14ac:dyDescent="0.2">
      <c r="A37" t="s">
        <v>89</v>
      </c>
      <c r="B37" s="8" t="str">
        <f t="shared" si="0"/>
        <v>2024-05-06 10:46:00</v>
      </c>
    </row>
    <row r="38" spans="1:2" x14ac:dyDescent="0.2">
      <c r="A38" t="s">
        <v>90</v>
      </c>
      <c r="B38" s="8" t="str">
        <f t="shared" si="0"/>
        <v>2024-03-23 19:01:00</v>
      </c>
    </row>
    <row r="39" spans="1:2" x14ac:dyDescent="0.2">
      <c r="A39" t="s">
        <v>91</v>
      </c>
      <c r="B39" s="8" t="str">
        <f t="shared" si="0"/>
        <v>2024-01-12 16:26:00</v>
      </c>
    </row>
    <row r="40" spans="1:2" x14ac:dyDescent="0.2">
      <c r="A40" t="s">
        <v>92</v>
      </c>
      <c r="B40" s="8" t="str">
        <f t="shared" si="0"/>
        <v>2024-02-28 20:54:00</v>
      </c>
    </row>
    <row r="41" spans="1:2" x14ac:dyDescent="0.2">
      <c r="A41" t="s">
        <v>93</v>
      </c>
      <c r="B41" s="8" t="str">
        <f t="shared" si="0"/>
        <v>2024-03-29 08:04:00</v>
      </c>
    </row>
    <row r="42" spans="1:2" x14ac:dyDescent="0.2">
      <c r="A42" t="s">
        <v>94</v>
      </c>
      <c r="B42" s="8" t="str">
        <f t="shared" si="0"/>
        <v>2024-01-04 07:41:00</v>
      </c>
    </row>
    <row r="43" spans="1:2" x14ac:dyDescent="0.2">
      <c r="A43" t="s">
        <v>95</v>
      </c>
      <c r="B43" s="8" t="str">
        <f t="shared" si="0"/>
        <v>2024-02-22 21:24:00</v>
      </c>
    </row>
    <row r="44" spans="1:2" x14ac:dyDescent="0.2">
      <c r="A44" t="s">
        <v>96</v>
      </c>
      <c r="B44" s="8" t="str">
        <f t="shared" si="0"/>
        <v>2024-01-27 20:47:00</v>
      </c>
    </row>
    <row r="45" spans="1:2" x14ac:dyDescent="0.2">
      <c r="A45" t="s">
        <v>97</v>
      </c>
      <c r="B45" s="8" t="str">
        <f t="shared" si="0"/>
        <v>2024-04-13 12:49:00</v>
      </c>
    </row>
    <row r="46" spans="1:2" x14ac:dyDescent="0.2">
      <c r="A46" t="s">
        <v>98</v>
      </c>
      <c r="B46" s="8" t="str">
        <f t="shared" si="0"/>
        <v>2024-02-29 11:49:00</v>
      </c>
    </row>
    <row r="47" spans="1:2" x14ac:dyDescent="0.2">
      <c r="A47" t="s">
        <v>99</v>
      </c>
      <c r="B47" s="8" t="str">
        <f t="shared" si="0"/>
        <v>2024-01-08 02:06:00</v>
      </c>
    </row>
    <row r="48" spans="1:2" x14ac:dyDescent="0.2">
      <c r="A48" t="s">
        <v>100</v>
      </c>
      <c r="B48" s="8" t="str">
        <f t="shared" si="0"/>
        <v>2024-03-21 00:55:00</v>
      </c>
    </row>
    <row r="49" spans="1:2" x14ac:dyDescent="0.2">
      <c r="A49" t="s">
        <v>101</v>
      </c>
      <c r="B49" s="8" t="str">
        <f t="shared" si="0"/>
        <v>2024-05-22 08:43:00</v>
      </c>
    </row>
    <row r="50" spans="1:2" x14ac:dyDescent="0.2">
      <c r="A50" t="s">
        <v>102</v>
      </c>
      <c r="B50" s="8" t="str">
        <f t="shared" si="0"/>
        <v>2024-01-08 06:49:00</v>
      </c>
    </row>
    <row r="51" spans="1:2" x14ac:dyDescent="0.2">
      <c r="A51" t="s">
        <v>103</v>
      </c>
      <c r="B51" s="8" t="str">
        <f t="shared" si="0"/>
        <v>2024-03-03 07:49:00</v>
      </c>
    </row>
    <row r="52" spans="1:2" x14ac:dyDescent="0.2">
      <c r="A52" t="s">
        <v>104</v>
      </c>
      <c r="B52" s="8" t="str">
        <f t="shared" si="0"/>
        <v>2024-02-17 02:41:00</v>
      </c>
    </row>
    <row r="53" spans="1:2" x14ac:dyDescent="0.2">
      <c r="A53" t="s">
        <v>105</v>
      </c>
      <c r="B53" s="8" t="str">
        <f t="shared" si="0"/>
        <v>2024-02-21 03:09:00</v>
      </c>
    </row>
    <row r="54" spans="1:2" x14ac:dyDescent="0.2">
      <c r="A54" t="s">
        <v>106</v>
      </c>
      <c r="B54" s="8" t="str">
        <f t="shared" si="0"/>
        <v>2024-04-17 05:52:00</v>
      </c>
    </row>
    <row r="55" spans="1:2" x14ac:dyDescent="0.2">
      <c r="A55" t="s">
        <v>107</v>
      </c>
      <c r="B55" s="8" t="str">
        <f t="shared" si="0"/>
        <v>2024-01-14 09:54:00</v>
      </c>
    </row>
    <row r="56" spans="1:2" x14ac:dyDescent="0.2">
      <c r="A56" t="s">
        <v>108</v>
      </c>
      <c r="B56" s="8" t="str">
        <f t="shared" si="0"/>
        <v>2024-05-13 07:00:00</v>
      </c>
    </row>
    <row r="57" spans="1:2" x14ac:dyDescent="0.2">
      <c r="A57" t="s">
        <v>109</v>
      </c>
      <c r="B57" s="8" t="str">
        <f t="shared" si="0"/>
        <v>2024-02-25 03:41:00</v>
      </c>
    </row>
    <row r="58" spans="1:2" x14ac:dyDescent="0.2">
      <c r="A58" t="s">
        <v>110</v>
      </c>
      <c r="B58" s="8" t="str">
        <f t="shared" si="0"/>
        <v>2024-05-30 18:23:00</v>
      </c>
    </row>
    <row r="59" spans="1:2" x14ac:dyDescent="0.2">
      <c r="A59" t="s">
        <v>111</v>
      </c>
      <c r="B59" s="8" t="str">
        <f t="shared" si="0"/>
        <v>2024-05-08 07:29:00</v>
      </c>
    </row>
    <row r="60" spans="1:2" x14ac:dyDescent="0.2">
      <c r="A60" t="s">
        <v>112</v>
      </c>
      <c r="B60" s="8" t="str">
        <f t="shared" si="0"/>
        <v>2024-01-27 15:04:00</v>
      </c>
    </row>
    <row r="61" spans="1:2" x14ac:dyDescent="0.2">
      <c r="A61" t="s">
        <v>113</v>
      </c>
      <c r="B61" s="8" t="str">
        <f t="shared" si="0"/>
        <v>2024-03-30 18:46:00</v>
      </c>
    </row>
    <row r="62" spans="1:2" x14ac:dyDescent="0.2">
      <c r="A62" t="s">
        <v>114</v>
      </c>
      <c r="B62" s="8" t="str">
        <f t="shared" si="0"/>
        <v>2024-04-13 00:10:00</v>
      </c>
    </row>
    <row r="63" spans="1:2" x14ac:dyDescent="0.2">
      <c r="A63" t="s">
        <v>115</v>
      </c>
      <c r="B63" s="8" t="str">
        <f t="shared" si="0"/>
        <v>2024-05-13 08:03:00</v>
      </c>
    </row>
    <row r="64" spans="1:2" x14ac:dyDescent="0.2">
      <c r="A64" t="s">
        <v>116</v>
      </c>
      <c r="B64" s="8" t="str">
        <f t="shared" si="0"/>
        <v>2024-03-02 02:49:00</v>
      </c>
    </row>
    <row r="65" spans="1:2" x14ac:dyDescent="0.2">
      <c r="A65" t="s">
        <v>117</v>
      </c>
      <c r="B65" s="8" t="str">
        <f t="shared" si="0"/>
        <v>2024-01-04 15:18:00</v>
      </c>
    </row>
    <row r="66" spans="1:2" x14ac:dyDescent="0.2">
      <c r="A66" t="s">
        <v>118</v>
      </c>
      <c r="B66" s="8" t="str">
        <f t="shared" si="0"/>
        <v>2024-02-19 11:09:00</v>
      </c>
    </row>
    <row r="67" spans="1:2" x14ac:dyDescent="0.2">
      <c r="A67" t="s">
        <v>119</v>
      </c>
      <c r="B67" s="8" t="str">
        <f t="shared" ref="B67:C130" si="1">RIGHT(A67,19)</f>
        <v>2024-02-18 19:25:00</v>
      </c>
    </row>
    <row r="68" spans="1:2" x14ac:dyDescent="0.2">
      <c r="A68" t="s">
        <v>120</v>
      </c>
      <c r="B68" s="8" t="str">
        <f t="shared" si="1"/>
        <v>2024-03-22 04:04:00</v>
      </c>
    </row>
    <row r="69" spans="1:2" x14ac:dyDescent="0.2">
      <c r="A69" t="s">
        <v>121</v>
      </c>
      <c r="B69" s="8" t="str">
        <f t="shared" si="1"/>
        <v>2024-02-20 21:38:00</v>
      </c>
    </row>
    <row r="70" spans="1:2" x14ac:dyDescent="0.2">
      <c r="A70" t="s">
        <v>122</v>
      </c>
      <c r="B70" s="8" t="str">
        <f t="shared" si="1"/>
        <v>2024-01-16 07:33:00</v>
      </c>
    </row>
    <row r="71" spans="1:2" x14ac:dyDescent="0.2">
      <c r="A71" t="s">
        <v>123</v>
      </c>
      <c r="B71" s="8" t="str">
        <f t="shared" si="1"/>
        <v>2024-02-25 11:38:00</v>
      </c>
    </row>
    <row r="72" spans="1:2" x14ac:dyDescent="0.2">
      <c r="A72" t="s">
        <v>124</v>
      </c>
      <c r="B72" s="8" t="str">
        <f t="shared" si="1"/>
        <v>2024-03-27 10:36:00</v>
      </c>
    </row>
    <row r="73" spans="1:2" x14ac:dyDescent="0.2">
      <c r="A73" t="s">
        <v>125</v>
      </c>
      <c r="B73" s="8" t="str">
        <f t="shared" si="1"/>
        <v>2024-05-30 14:47:00</v>
      </c>
    </row>
    <row r="74" spans="1:2" x14ac:dyDescent="0.2">
      <c r="A74" t="s">
        <v>126</v>
      </c>
      <c r="B74" s="8" t="str">
        <f t="shared" si="1"/>
        <v>2024-05-29 20:14:00</v>
      </c>
    </row>
    <row r="75" spans="1:2" x14ac:dyDescent="0.2">
      <c r="A75" t="s">
        <v>127</v>
      </c>
      <c r="B75" s="8" t="str">
        <f t="shared" si="1"/>
        <v>2024-03-08 16:01:00</v>
      </c>
    </row>
    <row r="76" spans="1:2" x14ac:dyDescent="0.2">
      <c r="A76" t="s">
        <v>128</v>
      </c>
      <c r="B76" s="8" t="str">
        <f t="shared" si="1"/>
        <v>2024-04-30 07:54:00</v>
      </c>
    </row>
    <row r="77" spans="1:2" x14ac:dyDescent="0.2">
      <c r="A77" t="s">
        <v>129</v>
      </c>
      <c r="B77" s="8" t="str">
        <f t="shared" si="1"/>
        <v>2024-03-08 20:25:00</v>
      </c>
    </row>
    <row r="78" spans="1:2" x14ac:dyDescent="0.2">
      <c r="A78" t="s">
        <v>130</v>
      </c>
      <c r="B78" s="8" t="str">
        <f t="shared" si="1"/>
        <v>2024-03-25 21:07:00</v>
      </c>
    </row>
    <row r="79" spans="1:2" x14ac:dyDescent="0.2">
      <c r="A79" t="s">
        <v>131</v>
      </c>
      <c r="B79" s="8" t="str">
        <f t="shared" si="1"/>
        <v>2024-02-08 05:04:00</v>
      </c>
    </row>
    <row r="80" spans="1:2" x14ac:dyDescent="0.2">
      <c r="A80" t="s">
        <v>132</v>
      </c>
      <c r="B80" s="8" t="str">
        <f t="shared" si="1"/>
        <v>2024-03-18 06:52:00</v>
      </c>
    </row>
    <row r="81" spans="1:2" x14ac:dyDescent="0.2">
      <c r="A81" t="s">
        <v>133</v>
      </c>
      <c r="B81" s="8" t="str">
        <f t="shared" si="1"/>
        <v>2024-04-16 13:46:00</v>
      </c>
    </row>
    <row r="82" spans="1:2" x14ac:dyDescent="0.2">
      <c r="A82" t="s">
        <v>134</v>
      </c>
      <c r="B82" s="8" t="str">
        <f t="shared" si="1"/>
        <v>2024-03-16 05:51:00</v>
      </c>
    </row>
    <row r="83" spans="1:2" x14ac:dyDescent="0.2">
      <c r="A83" t="s">
        <v>135</v>
      </c>
      <c r="B83" s="8" t="str">
        <f t="shared" si="1"/>
        <v>2024-05-05 05:51:00</v>
      </c>
    </row>
    <row r="84" spans="1:2" x14ac:dyDescent="0.2">
      <c r="A84" t="s">
        <v>136</v>
      </c>
      <c r="B84" s="8" t="str">
        <f t="shared" si="1"/>
        <v>2024-05-11 15:03:00</v>
      </c>
    </row>
    <row r="85" spans="1:2" x14ac:dyDescent="0.2">
      <c r="A85" t="s">
        <v>137</v>
      </c>
      <c r="B85" s="8" t="str">
        <f t="shared" si="1"/>
        <v>2024-04-20 09:39:00</v>
      </c>
    </row>
    <row r="86" spans="1:2" x14ac:dyDescent="0.2">
      <c r="A86" t="s">
        <v>138</v>
      </c>
      <c r="B86" s="8" t="str">
        <f t="shared" si="1"/>
        <v>2024-05-23 21:58:00</v>
      </c>
    </row>
    <row r="87" spans="1:2" x14ac:dyDescent="0.2">
      <c r="A87" t="s">
        <v>139</v>
      </c>
      <c r="B87" s="8" t="str">
        <f t="shared" si="1"/>
        <v>2024-01-16 19:17:00</v>
      </c>
    </row>
    <row r="88" spans="1:2" x14ac:dyDescent="0.2">
      <c r="A88" t="s">
        <v>140</v>
      </c>
      <c r="B88" s="8" t="str">
        <f t="shared" si="1"/>
        <v>2024-03-04 09:17:00</v>
      </c>
    </row>
    <row r="89" spans="1:2" x14ac:dyDescent="0.2">
      <c r="A89" t="s">
        <v>141</v>
      </c>
      <c r="B89" s="8" t="str">
        <f t="shared" si="1"/>
        <v>2024-02-27 16:31:00</v>
      </c>
    </row>
    <row r="90" spans="1:2" x14ac:dyDescent="0.2">
      <c r="A90" t="s">
        <v>142</v>
      </c>
      <c r="B90" s="8" t="str">
        <f t="shared" si="1"/>
        <v>2024-01-31 06:04:00</v>
      </c>
    </row>
    <row r="91" spans="1:2" x14ac:dyDescent="0.2">
      <c r="A91" t="s">
        <v>143</v>
      </c>
      <c r="B91" s="8" t="str">
        <f t="shared" si="1"/>
        <v>2024-02-07 19:18:00</v>
      </c>
    </row>
    <row r="92" spans="1:2" x14ac:dyDescent="0.2">
      <c r="A92" t="s">
        <v>144</v>
      </c>
      <c r="B92" s="8" t="str">
        <f t="shared" si="1"/>
        <v>2024-05-30 14:22:00</v>
      </c>
    </row>
    <row r="93" spans="1:2" x14ac:dyDescent="0.2">
      <c r="A93" t="s">
        <v>145</v>
      </c>
      <c r="B93" s="8" t="str">
        <f t="shared" si="1"/>
        <v>2024-03-02 01:58:00</v>
      </c>
    </row>
    <row r="94" spans="1:2" x14ac:dyDescent="0.2">
      <c r="A94" t="s">
        <v>146</v>
      </c>
      <c r="B94" s="8" t="str">
        <f t="shared" si="1"/>
        <v>2024-05-05 19:12:00</v>
      </c>
    </row>
    <row r="95" spans="1:2" x14ac:dyDescent="0.2">
      <c r="A95" t="s">
        <v>147</v>
      </c>
      <c r="B95" s="8" t="str">
        <f t="shared" si="1"/>
        <v>2024-01-11 18:22:00</v>
      </c>
    </row>
    <row r="96" spans="1:2" x14ac:dyDescent="0.2">
      <c r="A96" t="s">
        <v>148</v>
      </c>
      <c r="B96" s="8" t="str">
        <f t="shared" si="1"/>
        <v>2024-05-01 03:51:00</v>
      </c>
    </row>
    <row r="97" spans="1:2" x14ac:dyDescent="0.2">
      <c r="A97" t="s">
        <v>149</v>
      </c>
      <c r="B97" s="8" t="str">
        <f t="shared" si="1"/>
        <v>2024-02-11 18:25:00</v>
      </c>
    </row>
    <row r="98" spans="1:2" x14ac:dyDescent="0.2">
      <c r="A98" t="s">
        <v>150</v>
      </c>
      <c r="B98" s="8" t="str">
        <f t="shared" si="1"/>
        <v>2024-03-22 10:14:00</v>
      </c>
    </row>
    <row r="99" spans="1:2" x14ac:dyDescent="0.2">
      <c r="A99" t="s">
        <v>151</v>
      </c>
      <c r="B99" s="8" t="str">
        <f t="shared" si="1"/>
        <v>2024-04-17 03:00:00</v>
      </c>
    </row>
    <row r="100" spans="1:2" x14ac:dyDescent="0.2">
      <c r="A100" t="s">
        <v>152</v>
      </c>
      <c r="B100" s="8" t="str">
        <f t="shared" si="1"/>
        <v>2024-03-23 04:42:00</v>
      </c>
    </row>
    <row r="101" spans="1:2" x14ac:dyDescent="0.2">
      <c r="A101" t="s">
        <v>153</v>
      </c>
      <c r="B101" s="8" t="str">
        <f t="shared" si="1"/>
        <v>2024-01-07 17:08:00</v>
      </c>
    </row>
    <row r="102" spans="1:2" x14ac:dyDescent="0.2">
      <c r="A102" t="s">
        <v>154</v>
      </c>
      <c r="B102" s="8" t="str">
        <f t="shared" si="1"/>
        <v>2024-01-25 16:35:00</v>
      </c>
    </row>
    <row r="103" spans="1:2" x14ac:dyDescent="0.2">
      <c r="A103" t="s">
        <v>155</v>
      </c>
      <c r="B103" s="8" t="str">
        <f t="shared" si="1"/>
        <v>2024-05-02 09:42:00</v>
      </c>
    </row>
    <row r="104" spans="1:2" x14ac:dyDescent="0.2">
      <c r="A104" t="s">
        <v>156</v>
      </c>
      <c r="B104" s="8" t="str">
        <f t="shared" si="1"/>
        <v>2024-01-09 17:15:00</v>
      </c>
    </row>
    <row r="105" spans="1:2" x14ac:dyDescent="0.2">
      <c r="A105" t="s">
        <v>157</v>
      </c>
      <c r="B105" s="8" t="str">
        <f t="shared" si="1"/>
        <v>2024-02-09 08:31:00</v>
      </c>
    </row>
    <row r="106" spans="1:2" x14ac:dyDescent="0.2">
      <c r="A106" t="s">
        <v>158</v>
      </c>
      <c r="B106" s="8" t="str">
        <f t="shared" si="1"/>
        <v>2024-01-21 21:47:00</v>
      </c>
    </row>
    <row r="107" spans="1:2" x14ac:dyDescent="0.2">
      <c r="A107" t="s">
        <v>159</v>
      </c>
      <c r="B107" s="8" t="str">
        <f t="shared" si="1"/>
        <v>2024-04-19 04:41:00</v>
      </c>
    </row>
    <row r="108" spans="1:2" x14ac:dyDescent="0.2">
      <c r="A108" t="s">
        <v>160</v>
      </c>
      <c r="B108" s="8" t="str">
        <f t="shared" si="1"/>
        <v>2024-05-04 05:23:00</v>
      </c>
    </row>
    <row r="109" spans="1:2" x14ac:dyDescent="0.2">
      <c r="A109" t="s">
        <v>161</v>
      </c>
      <c r="B109" s="8" t="str">
        <f t="shared" si="1"/>
        <v>2024-04-14 21:09:00</v>
      </c>
    </row>
    <row r="110" spans="1:2" x14ac:dyDescent="0.2">
      <c r="A110" t="s">
        <v>162</v>
      </c>
      <c r="B110" s="8" t="str">
        <f t="shared" si="1"/>
        <v>2024-05-12 20:44:00</v>
      </c>
    </row>
    <row r="111" spans="1:2" x14ac:dyDescent="0.2">
      <c r="A111" t="s">
        <v>163</v>
      </c>
      <c r="B111" s="8" t="str">
        <f t="shared" si="1"/>
        <v>2024-02-13 02:42:00</v>
      </c>
    </row>
    <row r="112" spans="1:2" x14ac:dyDescent="0.2">
      <c r="A112" t="s">
        <v>164</v>
      </c>
      <c r="B112" s="8" t="str">
        <f t="shared" si="1"/>
        <v>2024-01-25 11:53:00</v>
      </c>
    </row>
    <row r="113" spans="1:2" x14ac:dyDescent="0.2">
      <c r="A113" t="s">
        <v>165</v>
      </c>
      <c r="B113" s="8" t="str">
        <f t="shared" si="1"/>
        <v>2024-01-04 22:23:00</v>
      </c>
    </row>
    <row r="114" spans="1:2" x14ac:dyDescent="0.2">
      <c r="A114" t="s">
        <v>166</v>
      </c>
      <c r="B114" s="8" t="str">
        <f t="shared" si="1"/>
        <v>2024-01-24 06:58:00</v>
      </c>
    </row>
    <row r="115" spans="1:2" x14ac:dyDescent="0.2">
      <c r="A115" t="s">
        <v>167</v>
      </c>
      <c r="B115" s="8" t="str">
        <f t="shared" si="1"/>
        <v>2024-04-11 19:01:00</v>
      </c>
    </row>
    <row r="116" spans="1:2" x14ac:dyDescent="0.2">
      <c r="A116" t="s">
        <v>168</v>
      </c>
      <c r="B116" s="8" t="str">
        <f t="shared" si="1"/>
        <v>2024-05-10 12:50:00</v>
      </c>
    </row>
    <row r="117" spans="1:2" x14ac:dyDescent="0.2">
      <c r="A117" t="s">
        <v>169</v>
      </c>
      <c r="B117" s="8" t="str">
        <f t="shared" si="1"/>
        <v>2024-05-04 01:58:00</v>
      </c>
    </row>
    <row r="118" spans="1:2" x14ac:dyDescent="0.2">
      <c r="A118" t="s">
        <v>170</v>
      </c>
      <c r="B118" s="8" t="str">
        <f t="shared" si="1"/>
        <v>2024-03-21 18:38:00</v>
      </c>
    </row>
    <row r="119" spans="1:2" x14ac:dyDescent="0.2">
      <c r="A119" t="s">
        <v>171</v>
      </c>
      <c r="B119" s="8" t="str">
        <f t="shared" si="1"/>
        <v>2024-01-07 09:25:00</v>
      </c>
    </row>
    <row r="120" spans="1:2" x14ac:dyDescent="0.2">
      <c r="A120" t="s">
        <v>172</v>
      </c>
      <c r="B120" s="8" t="str">
        <f t="shared" si="1"/>
        <v>2024-02-13 06:20:00</v>
      </c>
    </row>
    <row r="121" spans="1:2" x14ac:dyDescent="0.2">
      <c r="A121" t="s">
        <v>173</v>
      </c>
      <c r="B121" s="8" t="str">
        <f t="shared" si="1"/>
        <v>2024-02-02 06:21:00</v>
      </c>
    </row>
    <row r="122" spans="1:2" x14ac:dyDescent="0.2">
      <c r="A122" t="s">
        <v>174</v>
      </c>
      <c r="B122" s="8" t="str">
        <f t="shared" si="1"/>
        <v>2024-02-29 03:25:00</v>
      </c>
    </row>
    <row r="123" spans="1:2" x14ac:dyDescent="0.2">
      <c r="A123" t="s">
        <v>175</v>
      </c>
      <c r="B123" s="8" t="str">
        <f t="shared" si="1"/>
        <v>2024-04-12 01:14:00</v>
      </c>
    </row>
    <row r="124" spans="1:2" x14ac:dyDescent="0.2">
      <c r="A124" t="s">
        <v>176</v>
      </c>
      <c r="B124" s="8" t="str">
        <f t="shared" si="1"/>
        <v>2024-01-12 23:03:00</v>
      </c>
    </row>
    <row r="125" spans="1:2" x14ac:dyDescent="0.2">
      <c r="A125" t="s">
        <v>177</v>
      </c>
      <c r="B125" s="8" t="str">
        <f t="shared" si="1"/>
        <v>2024-03-23 21:04:00</v>
      </c>
    </row>
    <row r="126" spans="1:2" x14ac:dyDescent="0.2">
      <c r="A126" t="s">
        <v>178</v>
      </c>
      <c r="B126" s="8" t="str">
        <f t="shared" si="1"/>
        <v>2024-02-16 08:29:00</v>
      </c>
    </row>
    <row r="127" spans="1:2" x14ac:dyDescent="0.2">
      <c r="A127" t="s">
        <v>179</v>
      </c>
      <c r="B127" s="8" t="str">
        <f t="shared" si="1"/>
        <v>2024-01-02 09:59:00</v>
      </c>
    </row>
    <row r="128" spans="1:2" x14ac:dyDescent="0.2">
      <c r="A128" t="s">
        <v>180</v>
      </c>
      <c r="B128" s="8" t="str">
        <f t="shared" si="1"/>
        <v>2024-05-26 20:20:00</v>
      </c>
    </row>
    <row r="129" spans="1:2" x14ac:dyDescent="0.2">
      <c r="A129" t="s">
        <v>181</v>
      </c>
      <c r="B129" s="8" t="str">
        <f t="shared" si="1"/>
        <v>2024-05-04 17:40:00</v>
      </c>
    </row>
    <row r="130" spans="1:2" x14ac:dyDescent="0.2">
      <c r="A130" t="s">
        <v>182</v>
      </c>
      <c r="B130" s="8" t="str">
        <f t="shared" si="1"/>
        <v>2024-04-15 15:52:00</v>
      </c>
    </row>
    <row r="131" spans="1:2" x14ac:dyDescent="0.2">
      <c r="A131" t="s">
        <v>183</v>
      </c>
      <c r="B131" s="8" t="str">
        <f t="shared" ref="B131:C194" si="2">RIGHT(A131,19)</f>
        <v>2024-04-26 04:36:00</v>
      </c>
    </row>
    <row r="132" spans="1:2" x14ac:dyDescent="0.2">
      <c r="A132" t="s">
        <v>184</v>
      </c>
      <c r="B132" s="8" t="str">
        <f t="shared" si="2"/>
        <v>2024-04-07 06:36:00</v>
      </c>
    </row>
    <row r="133" spans="1:2" x14ac:dyDescent="0.2">
      <c r="A133" t="s">
        <v>185</v>
      </c>
      <c r="B133" s="8" t="str">
        <f t="shared" si="2"/>
        <v>2024-05-25 09:04:00</v>
      </c>
    </row>
    <row r="134" spans="1:2" x14ac:dyDescent="0.2">
      <c r="A134" t="s">
        <v>186</v>
      </c>
      <c r="B134" s="8" t="str">
        <f t="shared" si="2"/>
        <v>2024-01-22 05:58:00</v>
      </c>
    </row>
    <row r="135" spans="1:2" x14ac:dyDescent="0.2">
      <c r="A135" t="s">
        <v>187</v>
      </c>
      <c r="B135" s="8" t="str">
        <f t="shared" si="2"/>
        <v>2024-04-20 15:36:00</v>
      </c>
    </row>
    <row r="136" spans="1:2" x14ac:dyDescent="0.2">
      <c r="A136" t="s">
        <v>188</v>
      </c>
      <c r="B136" s="8" t="str">
        <f t="shared" si="2"/>
        <v>2024-02-12 18:07:00</v>
      </c>
    </row>
    <row r="137" spans="1:2" x14ac:dyDescent="0.2">
      <c r="A137" t="s">
        <v>189</v>
      </c>
      <c r="B137" s="8" t="str">
        <f t="shared" si="2"/>
        <v>2024-05-29 05:34:00</v>
      </c>
    </row>
    <row r="138" spans="1:2" x14ac:dyDescent="0.2">
      <c r="A138" t="s">
        <v>190</v>
      </c>
      <c r="B138" s="8" t="str">
        <f t="shared" si="2"/>
        <v>2024-03-07 14:06:00</v>
      </c>
    </row>
    <row r="139" spans="1:2" x14ac:dyDescent="0.2">
      <c r="A139" t="s">
        <v>191</v>
      </c>
      <c r="B139" s="8" t="str">
        <f t="shared" si="2"/>
        <v>2024-01-12 01:05:00</v>
      </c>
    </row>
    <row r="140" spans="1:2" x14ac:dyDescent="0.2">
      <c r="A140" t="s">
        <v>192</v>
      </c>
      <c r="B140" s="8" t="str">
        <f t="shared" si="2"/>
        <v>2024-02-13 03:45:00</v>
      </c>
    </row>
    <row r="141" spans="1:2" x14ac:dyDescent="0.2">
      <c r="A141" t="s">
        <v>193</v>
      </c>
      <c r="B141" s="8" t="str">
        <f t="shared" si="2"/>
        <v>2024-04-08 16:45:00</v>
      </c>
    </row>
    <row r="142" spans="1:2" x14ac:dyDescent="0.2">
      <c r="A142" t="s">
        <v>194</v>
      </c>
      <c r="B142" s="8" t="str">
        <f t="shared" si="2"/>
        <v>2024-02-16 13:21:00</v>
      </c>
    </row>
    <row r="143" spans="1:2" x14ac:dyDescent="0.2">
      <c r="A143" t="s">
        <v>195</v>
      </c>
      <c r="B143" s="8" t="str">
        <f t="shared" si="2"/>
        <v>2024-02-09 02:05:00</v>
      </c>
    </row>
    <row r="144" spans="1:2" x14ac:dyDescent="0.2">
      <c r="A144" t="s">
        <v>196</v>
      </c>
      <c r="B144" s="8" t="str">
        <f t="shared" si="2"/>
        <v>2024-04-22 23:57:00</v>
      </c>
    </row>
    <row r="145" spans="1:2" x14ac:dyDescent="0.2">
      <c r="A145" t="s">
        <v>197</v>
      </c>
      <c r="B145" s="8" t="str">
        <f t="shared" si="2"/>
        <v>2024-04-24 22:14:00</v>
      </c>
    </row>
    <row r="146" spans="1:2" x14ac:dyDescent="0.2">
      <c r="A146" t="s">
        <v>198</v>
      </c>
      <c r="B146" s="8" t="str">
        <f t="shared" si="2"/>
        <v>2024-04-09 10:54:00</v>
      </c>
    </row>
    <row r="147" spans="1:2" x14ac:dyDescent="0.2">
      <c r="A147" t="s">
        <v>199</v>
      </c>
      <c r="B147" s="8" t="str">
        <f t="shared" si="2"/>
        <v>2024-04-26 11:54:00</v>
      </c>
    </row>
    <row r="148" spans="1:2" x14ac:dyDescent="0.2">
      <c r="A148" t="s">
        <v>200</v>
      </c>
      <c r="B148" s="8" t="str">
        <f t="shared" si="2"/>
        <v>2024-01-25 13:38:00</v>
      </c>
    </row>
    <row r="149" spans="1:2" x14ac:dyDescent="0.2">
      <c r="A149" t="s">
        <v>201</v>
      </c>
      <c r="B149" s="8" t="str">
        <f t="shared" si="2"/>
        <v>2024-03-27 20:45:00</v>
      </c>
    </row>
    <row r="150" spans="1:2" x14ac:dyDescent="0.2">
      <c r="A150" t="s">
        <v>202</v>
      </c>
      <c r="B150" s="8" t="str">
        <f t="shared" si="2"/>
        <v>2024-02-22 22:51:00</v>
      </c>
    </row>
    <row r="151" spans="1:2" x14ac:dyDescent="0.2">
      <c r="A151" t="s">
        <v>203</v>
      </c>
      <c r="B151" s="8" t="str">
        <f t="shared" si="2"/>
        <v>2024-03-10 10:56:00</v>
      </c>
    </row>
    <row r="152" spans="1:2" x14ac:dyDescent="0.2">
      <c r="A152" t="s">
        <v>204</v>
      </c>
      <c r="B152" s="8" t="str">
        <f t="shared" si="2"/>
        <v>2024-03-11 16:14:00</v>
      </c>
    </row>
    <row r="153" spans="1:2" x14ac:dyDescent="0.2">
      <c r="A153" t="s">
        <v>205</v>
      </c>
      <c r="B153" s="8" t="str">
        <f t="shared" si="2"/>
        <v>2024-01-01 13:23:00</v>
      </c>
    </row>
    <row r="154" spans="1:2" x14ac:dyDescent="0.2">
      <c r="A154" t="s">
        <v>206</v>
      </c>
      <c r="B154" s="8" t="str">
        <f t="shared" si="2"/>
        <v>2024-04-18 16:28:00</v>
      </c>
    </row>
    <row r="155" spans="1:2" x14ac:dyDescent="0.2">
      <c r="A155" t="s">
        <v>207</v>
      </c>
      <c r="B155" s="8" t="str">
        <f t="shared" si="2"/>
        <v>2024-05-06 23:14:00</v>
      </c>
    </row>
    <row r="156" spans="1:2" x14ac:dyDescent="0.2">
      <c r="A156" t="s">
        <v>208</v>
      </c>
      <c r="B156" s="8" t="str">
        <f t="shared" si="2"/>
        <v>2024-02-03 13:42:00</v>
      </c>
    </row>
    <row r="157" spans="1:2" x14ac:dyDescent="0.2">
      <c r="A157" t="s">
        <v>209</v>
      </c>
      <c r="B157" s="8" t="str">
        <f t="shared" si="2"/>
        <v>2024-03-17 22:19:00</v>
      </c>
    </row>
    <row r="158" spans="1:2" x14ac:dyDescent="0.2">
      <c r="A158" t="s">
        <v>210</v>
      </c>
      <c r="B158" s="8" t="str">
        <f t="shared" si="2"/>
        <v>2024-02-03 18:22:00</v>
      </c>
    </row>
    <row r="159" spans="1:2" x14ac:dyDescent="0.2">
      <c r="A159" t="s">
        <v>211</v>
      </c>
      <c r="B159" s="8" t="str">
        <f t="shared" si="2"/>
        <v>2024-03-16 22:18:00</v>
      </c>
    </row>
    <row r="160" spans="1:2" x14ac:dyDescent="0.2">
      <c r="A160" t="s">
        <v>212</v>
      </c>
      <c r="B160" s="8" t="str">
        <f t="shared" si="2"/>
        <v>2024-05-15 12:29:00</v>
      </c>
    </row>
    <row r="161" spans="1:2" x14ac:dyDescent="0.2">
      <c r="A161" t="s">
        <v>213</v>
      </c>
      <c r="B161" s="8" t="str">
        <f t="shared" si="2"/>
        <v>2024-01-09 05:28:00</v>
      </c>
    </row>
    <row r="162" spans="1:2" x14ac:dyDescent="0.2">
      <c r="A162" t="s">
        <v>214</v>
      </c>
      <c r="B162" s="8" t="str">
        <f t="shared" si="2"/>
        <v>2024-04-07 03:17:00</v>
      </c>
    </row>
    <row r="163" spans="1:2" x14ac:dyDescent="0.2">
      <c r="A163" t="s">
        <v>215</v>
      </c>
      <c r="B163" s="8" t="str">
        <f t="shared" si="2"/>
        <v>2024-05-10 05:20:00</v>
      </c>
    </row>
    <row r="164" spans="1:2" x14ac:dyDescent="0.2">
      <c r="A164" t="s">
        <v>216</v>
      </c>
      <c r="B164" s="8" t="str">
        <f t="shared" si="2"/>
        <v>2024-02-23 00:48:00</v>
      </c>
    </row>
    <row r="165" spans="1:2" x14ac:dyDescent="0.2">
      <c r="A165" t="s">
        <v>217</v>
      </c>
      <c r="B165" s="8" t="str">
        <f t="shared" si="2"/>
        <v>2024-01-30 03:37:00</v>
      </c>
    </row>
    <row r="166" spans="1:2" x14ac:dyDescent="0.2">
      <c r="A166" t="s">
        <v>218</v>
      </c>
      <c r="B166" s="8" t="str">
        <f t="shared" si="2"/>
        <v>2024-05-22 13:00:00</v>
      </c>
    </row>
    <row r="167" spans="1:2" x14ac:dyDescent="0.2">
      <c r="A167" t="s">
        <v>219</v>
      </c>
      <c r="B167" s="8" t="str">
        <f t="shared" si="2"/>
        <v>2024-03-05 22:06:00</v>
      </c>
    </row>
    <row r="168" spans="1:2" x14ac:dyDescent="0.2">
      <c r="A168" t="s">
        <v>220</v>
      </c>
      <c r="B168" s="8" t="str">
        <f t="shared" si="2"/>
        <v>2024-02-02 22:29:00</v>
      </c>
    </row>
    <row r="169" spans="1:2" x14ac:dyDescent="0.2">
      <c r="A169" t="s">
        <v>221</v>
      </c>
      <c r="B169" s="8" t="str">
        <f t="shared" si="2"/>
        <v>2024-01-21 14:09:00</v>
      </c>
    </row>
    <row r="170" spans="1:2" x14ac:dyDescent="0.2">
      <c r="A170" t="s">
        <v>222</v>
      </c>
      <c r="B170" s="8" t="str">
        <f t="shared" si="2"/>
        <v>2024-05-16 09:07:00</v>
      </c>
    </row>
    <row r="171" spans="1:2" x14ac:dyDescent="0.2">
      <c r="A171" t="s">
        <v>223</v>
      </c>
      <c r="B171" s="8" t="str">
        <f t="shared" si="2"/>
        <v>2024-03-15 17:21:00</v>
      </c>
    </row>
    <row r="172" spans="1:2" x14ac:dyDescent="0.2">
      <c r="A172" t="s">
        <v>224</v>
      </c>
      <c r="B172" s="8" t="str">
        <f t="shared" si="2"/>
        <v>2024-02-28 00:23:00</v>
      </c>
    </row>
    <row r="173" spans="1:2" x14ac:dyDescent="0.2">
      <c r="A173" t="s">
        <v>225</v>
      </c>
      <c r="B173" s="8" t="str">
        <f t="shared" si="2"/>
        <v>2024-04-05 18:58:00</v>
      </c>
    </row>
    <row r="174" spans="1:2" x14ac:dyDescent="0.2">
      <c r="A174" t="s">
        <v>226</v>
      </c>
      <c r="B174" s="8" t="str">
        <f t="shared" si="2"/>
        <v>2024-05-03 00:06:00</v>
      </c>
    </row>
    <row r="175" spans="1:2" x14ac:dyDescent="0.2">
      <c r="A175" t="s">
        <v>227</v>
      </c>
      <c r="B175" s="8" t="str">
        <f t="shared" si="2"/>
        <v>2024-02-06 14:08:00</v>
      </c>
    </row>
    <row r="176" spans="1:2" x14ac:dyDescent="0.2">
      <c r="A176" t="s">
        <v>228</v>
      </c>
      <c r="B176" s="8" t="str">
        <f t="shared" si="2"/>
        <v>2024-04-01 09:27:00</v>
      </c>
    </row>
    <row r="177" spans="1:2" x14ac:dyDescent="0.2">
      <c r="A177" t="s">
        <v>229</v>
      </c>
      <c r="B177" s="8" t="str">
        <f t="shared" si="2"/>
        <v>2024-05-07 03:00:00</v>
      </c>
    </row>
    <row r="178" spans="1:2" x14ac:dyDescent="0.2">
      <c r="A178" t="s">
        <v>230</v>
      </c>
      <c r="B178" s="8" t="str">
        <f t="shared" si="2"/>
        <v>2024-05-11 09:21:00</v>
      </c>
    </row>
    <row r="179" spans="1:2" x14ac:dyDescent="0.2">
      <c r="A179" t="s">
        <v>231</v>
      </c>
      <c r="B179" s="8" t="str">
        <f t="shared" si="2"/>
        <v>2024-02-04 23:47:00</v>
      </c>
    </row>
    <row r="180" spans="1:2" x14ac:dyDescent="0.2">
      <c r="A180" t="s">
        <v>232</v>
      </c>
      <c r="B180" s="8" t="str">
        <f t="shared" si="2"/>
        <v>2024-04-01 08:04:00</v>
      </c>
    </row>
    <row r="181" spans="1:2" x14ac:dyDescent="0.2">
      <c r="A181" t="s">
        <v>233</v>
      </c>
      <c r="B181" s="8" t="str">
        <f t="shared" si="2"/>
        <v>2024-02-06 05:53:00</v>
      </c>
    </row>
    <row r="182" spans="1:2" x14ac:dyDescent="0.2">
      <c r="A182" t="s">
        <v>234</v>
      </c>
      <c r="B182" s="8" t="str">
        <f t="shared" si="2"/>
        <v>2024-01-06 15:44:00</v>
      </c>
    </row>
    <row r="183" spans="1:2" x14ac:dyDescent="0.2">
      <c r="A183" t="s">
        <v>235</v>
      </c>
      <c r="B183" s="8" t="str">
        <f t="shared" si="2"/>
        <v>2024-03-04 21:14:00</v>
      </c>
    </row>
    <row r="184" spans="1:2" x14ac:dyDescent="0.2">
      <c r="A184" t="s">
        <v>236</v>
      </c>
      <c r="B184" s="8" t="str">
        <f t="shared" si="2"/>
        <v>2024-03-27 13:38:00</v>
      </c>
    </row>
    <row r="185" spans="1:2" x14ac:dyDescent="0.2">
      <c r="A185" t="s">
        <v>237</v>
      </c>
      <c r="B185" s="8" t="str">
        <f t="shared" si="2"/>
        <v>2024-05-04 01:41:00</v>
      </c>
    </row>
    <row r="186" spans="1:2" x14ac:dyDescent="0.2">
      <c r="A186" t="s">
        <v>238</v>
      </c>
      <c r="B186" s="8" t="str">
        <f t="shared" si="2"/>
        <v>2024-03-02 04:39:00</v>
      </c>
    </row>
    <row r="187" spans="1:2" x14ac:dyDescent="0.2">
      <c r="A187" t="s">
        <v>239</v>
      </c>
      <c r="B187" s="8" t="str">
        <f t="shared" si="2"/>
        <v>2024-02-14 05:40:00</v>
      </c>
    </row>
    <row r="188" spans="1:2" x14ac:dyDescent="0.2">
      <c r="A188" t="s">
        <v>240</v>
      </c>
      <c r="B188" s="8" t="str">
        <f t="shared" si="2"/>
        <v>2024-02-18 09:23:00</v>
      </c>
    </row>
    <row r="189" spans="1:2" x14ac:dyDescent="0.2">
      <c r="A189" t="s">
        <v>241</v>
      </c>
      <c r="B189" s="8" t="str">
        <f t="shared" si="2"/>
        <v>2024-01-12 14:57:00</v>
      </c>
    </row>
    <row r="190" spans="1:2" x14ac:dyDescent="0.2">
      <c r="A190" t="s">
        <v>242</v>
      </c>
      <c r="B190" s="8" t="str">
        <f t="shared" si="2"/>
        <v>2024-01-02 07:36:00</v>
      </c>
    </row>
    <row r="191" spans="1:2" x14ac:dyDescent="0.2">
      <c r="A191" t="s">
        <v>243</v>
      </c>
      <c r="B191" s="8" t="str">
        <f t="shared" si="2"/>
        <v>2024-02-09 16:23:00</v>
      </c>
    </row>
    <row r="192" spans="1:2" x14ac:dyDescent="0.2">
      <c r="A192" t="s">
        <v>244</v>
      </c>
      <c r="B192" s="8" t="str">
        <f t="shared" si="2"/>
        <v>2024-04-07 11:28:00</v>
      </c>
    </row>
    <row r="193" spans="1:2" x14ac:dyDescent="0.2">
      <c r="A193" t="s">
        <v>245</v>
      </c>
      <c r="B193" s="8" t="str">
        <f t="shared" si="2"/>
        <v>2024-04-22 10:32:00</v>
      </c>
    </row>
    <row r="194" spans="1:2" x14ac:dyDescent="0.2">
      <c r="A194" t="s">
        <v>246</v>
      </c>
      <c r="B194" s="8" t="str">
        <f t="shared" si="2"/>
        <v>2024-03-29 03:41:00</v>
      </c>
    </row>
    <row r="195" spans="1:2" x14ac:dyDescent="0.2">
      <c r="A195" t="s">
        <v>247</v>
      </c>
      <c r="B195" s="8" t="str">
        <f t="shared" ref="B195:C258" si="3">RIGHT(A195,19)</f>
        <v>2024-01-26 02:22:00</v>
      </c>
    </row>
    <row r="196" spans="1:2" x14ac:dyDescent="0.2">
      <c r="A196" t="s">
        <v>248</v>
      </c>
      <c r="B196" s="8" t="str">
        <f t="shared" si="3"/>
        <v>2024-03-31 23:24:00</v>
      </c>
    </row>
    <row r="197" spans="1:2" x14ac:dyDescent="0.2">
      <c r="A197" t="s">
        <v>249</v>
      </c>
      <c r="B197" s="8" t="str">
        <f t="shared" si="3"/>
        <v>2024-01-09 06:16:00</v>
      </c>
    </row>
    <row r="198" spans="1:2" x14ac:dyDescent="0.2">
      <c r="A198" t="s">
        <v>250</v>
      </c>
      <c r="B198" s="8" t="str">
        <f t="shared" si="3"/>
        <v>2024-04-28 22:05:00</v>
      </c>
    </row>
    <row r="199" spans="1:2" x14ac:dyDescent="0.2">
      <c r="A199" t="s">
        <v>251</v>
      </c>
      <c r="B199" s="8" t="str">
        <f t="shared" si="3"/>
        <v>2024-02-18 02:13:00</v>
      </c>
    </row>
    <row r="200" spans="1:2" x14ac:dyDescent="0.2">
      <c r="A200" t="s">
        <v>252</v>
      </c>
      <c r="B200" s="8" t="str">
        <f t="shared" si="3"/>
        <v>2024-02-07 19:02:00</v>
      </c>
    </row>
    <row r="201" spans="1:2" x14ac:dyDescent="0.2">
      <c r="A201" t="s">
        <v>253</v>
      </c>
      <c r="B201" s="8" t="str">
        <f t="shared" si="3"/>
        <v>2024-05-05 11:28:00</v>
      </c>
    </row>
    <row r="202" spans="1:2" x14ac:dyDescent="0.2">
      <c r="A202" t="s">
        <v>254</v>
      </c>
      <c r="B202" s="8" t="str">
        <f t="shared" si="3"/>
        <v>2024-01-18 07:30:00</v>
      </c>
    </row>
    <row r="203" spans="1:2" x14ac:dyDescent="0.2">
      <c r="A203" t="s">
        <v>255</v>
      </c>
      <c r="B203" s="8" t="str">
        <f t="shared" si="3"/>
        <v>2024-01-29 19:34:00</v>
      </c>
    </row>
    <row r="204" spans="1:2" x14ac:dyDescent="0.2">
      <c r="A204" t="s">
        <v>256</v>
      </c>
      <c r="B204" s="8" t="str">
        <f t="shared" si="3"/>
        <v>2024-02-17 04:02:00</v>
      </c>
    </row>
    <row r="205" spans="1:2" x14ac:dyDescent="0.2">
      <c r="A205" t="s">
        <v>257</v>
      </c>
      <c r="B205" s="8" t="str">
        <f t="shared" si="3"/>
        <v>2024-01-31 07:59:00</v>
      </c>
    </row>
    <row r="206" spans="1:2" x14ac:dyDescent="0.2">
      <c r="A206" t="s">
        <v>258</v>
      </c>
      <c r="B206" s="8" t="str">
        <f t="shared" si="3"/>
        <v>2024-05-16 08:42:00</v>
      </c>
    </row>
    <row r="207" spans="1:2" x14ac:dyDescent="0.2">
      <c r="A207" t="s">
        <v>259</v>
      </c>
      <c r="B207" s="8" t="str">
        <f t="shared" si="3"/>
        <v>2024-03-07 04:26:00</v>
      </c>
    </row>
    <row r="208" spans="1:2" x14ac:dyDescent="0.2">
      <c r="A208" t="s">
        <v>260</v>
      </c>
      <c r="B208" s="8" t="str">
        <f t="shared" si="3"/>
        <v>2024-04-21 14:19:00</v>
      </c>
    </row>
    <row r="209" spans="1:2" x14ac:dyDescent="0.2">
      <c r="A209" t="s">
        <v>261</v>
      </c>
      <c r="B209" s="8" t="str">
        <f t="shared" si="3"/>
        <v>2024-04-08 11:04:00</v>
      </c>
    </row>
    <row r="210" spans="1:2" x14ac:dyDescent="0.2">
      <c r="A210" t="s">
        <v>262</v>
      </c>
      <c r="B210" s="8" t="str">
        <f t="shared" si="3"/>
        <v>2024-03-21 10:34:00</v>
      </c>
    </row>
    <row r="211" spans="1:2" x14ac:dyDescent="0.2">
      <c r="A211" t="s">
        <v>263</v>
      </c>
      <c r="B211" s="8" t="str">
        <f t="shared" si="3"/>
        <v>2024-03-19 22:41:00</v>
      </c>
    </row>
    <row r="212" spans="1:2" x14ac:dyDescent="0.2">
      <c r="A212" t="s">
        <v>264</v>
      </c>
      <c r="B212" s="8" t="str">
        <f t="shared" si="3"/>
        <v>2024-02-02 12:24:00</v>
      </c>
    </row>
    <row r="213" spans="1:2" x14ac:dyDescent="0.2">
      <c r="A213" t="s">
        <v>265</v>
      </c>
      <c r="B213" s="8" t="str">
        <f t="shared" si="3"/>
        <v>2024-01-14 16:52:00</v>
      </c>
    </row>
    <row r="214" spans="1:2" x14ac:dyDescent="0.2">
      <c r="A214" t="s">
        <v>266</v>
      </c>
      <c r="B214" s="8" t="str">
        <f t="shared" si="3"/>
        <v>2024-05-07 11:48:00</v>
      </c>
    </row>
    <row r="215" spans="1:2" x14ac:dyDescent="0.2">
      <c r="A215" t="s">
        <v>267</v>
      </c>
      <c r="B215" s="8" t="str">
        <f t="shared" si="3"/>
        <v>2024-01-22 20:37:00</v>
      </c>
    </row>
    <row r="216" spans="1:2" x14ac:dyDescent="0.2">
      <c r="A216" t="s">
        <v>268</v>
      </c>
      <c r="B216" s="8" t="str">
        <f t="shared" si="3"/>
        <v>2024-01-02 12:42:00</v>
      </c>
    </row>
    <row r="217" spans="1:2" x14ac:dyDescent="0.2">
      <c r="A217" t="s">
        <v>269</v>
      </c>
      <c r="B217" s="8" t="str">
        <f t="shared" si="3"/>
        <v>2024-05-29 11:20:00</v>
      </c>
    </row>
    <row r="218" spans="1:2" x14ac:dyDescent="0.2">
      <c r="A218" t="s">
        <v>270</v>
      </c>
      <c r="B218" s="8" t="str">
        <f t="shared" si="3"/>
        <v>2024-04-09 13:13:00</v>
      </c>
    </row>
    <row r="219" spans="1:2" x14ac:dyDescent="0.2">
      <c r="A219" t="s">
        <v>271</v>
      </c>
      <c r="B219" s="8" t="str">
        <f t="shared" si="3"/>
        <v>2024-03-25 21:32:00</v>
      </c>
    </row>
    <row r="220" spans="1:2" x14ac:dyDescent="0.2">
      <c r="A220" t="s">
        <v>272</v>
      </c>
      <c r="B220" s="8" t="str">
        <f t="shared" si="3"/>
        <v>2024-02-10 02:20:00</v>
      </c>
    </row>
    <row r="221" spans="1:2" x14ac:dyDescent="0.2">
      <c r="A221" t="s">
        <v>273</v>
      </c>
      <c r="B221" s="8" t="str">
        <f t="shared" si="3"/>
        <v>2024-01-29 18:08:00</v>
      </c>
    </row>
    <row r="222" spans="1:2" x14ac:dyDescent="0.2">
      <c r="A222" t="s">
        <v>274</v>
      </c>
      <c r="B222" s="8" t="str">
        <f t="shared" si="3"/>
        <v>2024-05-25 05:17:00</v>
      </c>
    </row>
    <row r="223" spans="1:2" x14ac:dyDescent="0.2">
      <c r="A223" t="s">
        <v>275</v>
      </c>
      <c r="B223" s="8" t="str">
        <f t="shared" si="3"/>
        <v>2024-05-15 10:37:00</v>
      </c>
    </row>
    <row r="224" spans="1:2" x14ac:dyDescent="0.2">
      <c r="A224" t="s">
        <v>276</v>
      </c>
      <c r="B224" s="8" t="str">
        <f t="shared" si="3"/>
        <v>2024-01-20 02:30:00</v>
      </c>
    </row>
    <row r="225" spans="1:2" x14ac:dyDescent="0.2">
      <c r="A225" t="s">
        <v>277</v>
      </c>
      <c r="B225" s="8" t="str">
        <f t="shared" si="3"/>
        <v>2024-05-25 16:24:00</v>
      </c>
    </row>
    <row r="226" spans="1:2" x14ac:dyDescent="0.2">
      <c r="A226" t="s">
        <v>278</v>
      </c>
      <c r="B226" s="8" t="str">
        <f t="shared" si="3"/>
        <v>2024-05-22 13:11:00</v>
      </c>
    </row>
    <row r="227" spans="1:2" x14ac:dyDescent="0.2">
      <c r="A227" t="s">
        <v>279</v>
      </c>
      <c r="B227" s="8" t="str">
        <f t="shared" si="3"/>
        <v>2024-02-21 22:10:00</v>
      </c>
    </row>
    <row r="228" spans="1:2" x14ac:dyDescent="0.2">
      <c r="A228" t="s">
        <v>280</v>
      </c>
      <c r="B228" s="8" t="str">
        <f t="shared" si="3"/>
        <v>2024-01-06 19:33:00</v>
      </c>
    </row>
    <row r="229" spans="1:2" x14ac:dyDescent="0.2">
      <c r="A229" t="s">
        <v>281</v>
      </c>
      <c r="B229" s="8" t="str">
        <f t="shared" si="3"/>
        <v>2024-05-21 12:44:00</v>
      </c>
    </row>
    <row r="230" spans="1:2" x14ac:dyDescent="0.2">
      <c r="A230" t="s">
        <v>282</v>
      </c>
      <c r="B230" s="8" t="str">
        <f t="shared" si="3"/>
        <v>2024-05-15 15:19:00</v>
      </c>
    </row>
    <row r="231" spans="1:2" x14ac:dyDescent="0.2">
      <c r="A231" t="s">
        <v>283</v>
      </c>
      <c r="B231" s="8" t="str">
        <f t="shared" si="3"/>
        <v>2024-05-10 10:58:00</v>
      </c>
    </row>
    <row r="232" spans="1:2" x14ac:dyDescent="0.2">
      <c r="A232" t="s">
        <v>284</v>
      </c>
      <c r="B232" s="8" t="str">
        <f t="shared" si="3"/>
        <v>2024-05-28 21:15:00</v>
      </c>
    </row>
    <row r="233" spans="1:2" x14ac:dyDescent="0.2">
      <c r="A233" t="s">
        <v>285</v>
      </c>
      <c r="B233" s="8" t="str">
        <f t="shared" si="3"/>
        <v>2024-04-06 04:17:00</v>
      </c>
    </row>
    <row r="234" spans="1:2" x14ac:dyDescent="0.2">
      <c r="A234" t="s">
        <v>286</v>
      </c>
      <c r="B234" s="8" t="str">
        <f t="shared" si="3"/>
        <v>2024-05-08 06:36:00</v>
      </c>
    </row>
    <row r="235" spans="1:2" x14ac:dyDescent="0.2">
      <c r="A235" t="s">
        <v>287</v>
      </c>
      <c r="B235" s="8" t="str">
        <f t="shared" si="3"/>
        <v>2024-03-04 20:21:00</v>
      </c>
    </row>
    <row r="236" spans="1:2" x14ac:dyDescent="0.2">
      <c r="A236" t="s">
        <v>288</v>
      </c>
      <c r="B236" s="8" t="str">
        <f t="shared" si="3"/>
        <v>2024-03-29 15:32:00</v>
      </c>
    </row>
    <row r="237" spans="1:2" x14ac:dyDescent="0.2">
      <c r="A237" t="s">
        <v>289</v>
      </c>
      <c r="B237" s="8" t="str">
        <f t="shared" si="3"/>
        <v>2024-05-18 22:05:00</v>
      </c>
    </row>
    <row r="238" spans="1:2" x14ac:dyDescent="0.2">
      <c r="A238" t="s">
        <v>290</v>
      </c>
      <c r="B238" s="8" t="str">
        <f t="shared" si="3"/>
        <v>2024-04-29 05:35:00</v>
      </c>
    </row>
    <row r="239" spans="1:2" x14ac:dyDescent="0.2">
      <c r="A239" t="s">
        <v>291</v>
      </c>
      <c r="B239" s="8" t="str">
        <f t="shared" si="3"/>
        <v>2024-02-23 18:44:00</v>
      </c>
    </row>
    <row r="240" spans="1:2" x14ac:dyDescent="0.2">
      <c r="A240" t="s">
        <v>292</v>
      </c>
      <c r="B240" s="8" t="str">
        <f t="shared" si="3"/>
        <v>2024-02-14 10:05:00</v>
      </c>
    </row>
    <row r="241" spans="1:2" x14ac:dyDescent="0.2">
      <c r="A241" t="s">
        <v>293</v>
      </c>
      <c r="B241" s="8" t="str">
        <f t="shared" si="3"/>
        <v>2024-03-08 03:52:00</v>
      </c>
    </row>
    <row r="242" spans="1:2" x14ac:dyDescent="0.2">
      <c r="A242" t="s">
        <v>294</v>
      </c>
      <c r="B242" s="8" t="str">
        <f t="shared" si="3"/>
        <v>2024-03-22 20:58:00</v>
      </c>
    </row>
    <row r="243" spans="1:2" x14ac:dyDescent="0.2">
      <c r="A243" t="s">
        <v>295</v>
      </c>
      <c r="B243" s="8" t="str">
        <f t="shared" si="3"/>
        <v>2024-03-07 18:55:00</v>
      </c>
    </row>
    <row r="244" spans="1:2" x14ac:dyDescent="0.2">
      <c r="A244" t="s">
        <v>296</v>
      </c>
      <c r="B244" s="8" t="str">
        <f t="shared" si="3"/>
        <v>2024-01-29 13:08:00</v>
      </c>
    </row>
    <row r="245" spans="1:2" x14ac:dyDescent="0.2">
      <c r="A245" t="s">
        <v>297</v>
      </c>
      <c r="B245" s="8" t="str">
        <f t="shared" si="3"/>
        <v>2024-05-18 08:50:00</v>
      </c>
    </row>
    <row r="246" spans="1:2" x14ac:dyDescent="0.2">
      <c r="A246" t="s">
        <v>298</v>
      </c>
      <c r="B246" s="8" t="str">
        <f t="shared" si="3"/>
        <v>2024-01-20 00:07:00</v>
      </c>
    </row>
    <row r="247" spans="1:2" x14ac:dyDescent="0.2">
      <c r="A247" t="s">
        <v>299</v>
      </c>
      <c r="B247" s="8" t="str">
        <f t="shared" si="3"/>
        <v>2024-01-28 17:53:00</v>
      </c>
    </row>
    <row r="248" spans="1:2" x14ac:dyDescent="0.2">
      <c r="A248" t="s">
        <v>300</v>
      </c>
      <c r="B248" s="8" t="str">
        <f t="shared" si="3"/>
        <v>2024-02-28 08:52:00</v>
      </c>
    </row>
    <row r="249" spans="1:2" x14ac:dyDescent="0.2">
      <c r="A249" t="s">
        <v>301</v>
      </c>
      <c r="B249" s="8" t="str">
        <f t="shared" si="3"/>
        <v>2024-05-26 01:12:00</v>
      </c>
    </row>
    <row r="250" spans="1:2" x14ac:dyDescent="0.2">
      <c r="A250" t="s">
        <v>302</v>
      </c>
      <c r="B250" s="8" t="str">
        <f t="shared" si="3"/>
        <v>2024-05-15 11:58:00</v>
      </c>
    </row>
    <row r="251" spans="1:2" x14ac:dyDescent="0.2">
      <c r="A251" t="s">
        <v>303</v>
      </c>
      <c r="B251" s="8" t="str">
        <f t="shared" si="3"/>
        <v>2024-02-19 16:22:00</v>
      </c>
    </row>
    <row r="252" spans="1:2" x14ac:dyDescent="0.2">
      <c r="A252" t="s">
        <v>304</v>
      </c>
      <c r="B252" s="8" t="str">
        <f t="shared" si="3"/>
        <v>2024-02-18 15:45:00</v>
      </c>
    </row>
    <row r="253" spans="1:2" x14ac:dyDescent="0.2">
      <c r="A253" t="s">
        <v>305</v>
      </c>
      <c r="B253" s="8" t="str">
        <f t="shared" si="3"/>
        <v>2024-03-05 21:44:00</v>
      </c>
    </row>
    <row r="254" spans="1:2" x14ac:dyDescent="0.2">
      <c r="A254" t="s">
        <v>306</v>
      </c>
      <c r="B254" s="8" t="str">
        <f t="shared" si="3"/>
        <v>2024-05-24 13:37:00</v>
      </c>
    </row>
    <row r="255" spans="1:2" x14ac:dyDescent="0.2">
      <c r="A255" t="s">
        <v>307</v>
      </c>
      <c r="B255" s="8" t="str">
        <f t="shared" si="3"/>
        <v>2024-03-13 19:38:00</v>
      </c>
    </row>
    <row r="256" spans="1:2" x14ac:dyDescent="0.2">
      <c r="A256" t="s">
        <v>308</v>
      </c>
      <c r="B256" s="8" t="str">
        <f t="shared" si="3"/>
        <v>2024-02-12 15:38:00</v>
      </c>
    </row>
    <row r="257" spans="1:2" x14ac:dyDescent="0.2">
      <c r="A257" t="s">
        <v>309</v>
      </c>
      <c r="B257" s="8" t="str">
        <f t="shared" si="3"/>
        <v>2024-03-20 00:22:00</v>
      </c>
    </row>
    <row r="258" spans="1:2" x14ac:dyDescent="0.2">
      <c r="A258" t="s">
        <v>310</v>
      </c>
      <c r="B258" s="8" t="str">
        <f t="shared" si="3"/>
        <v>2024-03-11 05:59:00</v>
      </c>
    </row>
    <row r="259" spans="1:2" x14ac:dyDescent="0.2">
      <c r="A259" t="s">
        <v>311</v>
      </c>
      <c r="B259" s="8" t="str">
        <f t="shared" ref="B259:C322" si="4">RIGHT(A259,19)</f>
        <v>2024-04-03 07:21:00</v>
      </c>
    </row>
    <row r="260" spans="1:2" x14ac:dyDescent="0.2">
      <c r="A260" t="s">
        <v>312</v>
      </c>
      <c r="B260" s="8" t="str">
        <f t="shared" si="4"/>
        <v>2024-03-15 04:50:00</v>
      </c>
    </row>
    <row r="261" spans="1:2" x14ac:dyDescent="0.2">
      <c r="A261" t="s">
        <v>313</v>
      </c>
      <c r="B261" s="8" t="str">
        <f t="shared" si="4"/>
        <v>2024-04-25 09:01:00</v>
      </c>
    </row>
    <row r="262" spans="1:2" x14ac:dyDescent="0.2">
      <c r="A262" t="s">
        <v>314</v>
      </c>
      <c r="B262" s="8" t="str">
        <f t="shared" si="4"/>
        <v>2024-01-24 00:07:00</v>
      </c>
    </row>
    <row r="263" spans="1:2" x14ac:dyDescent="0.2">
      <c r="A263" t="s">
        <v>315</v>
      </c>
      <c r="B263" s="8" t="str">
        <f t="shared" si="4"/>
        <v>2024-05-21 15:20:00</v>
      </c>
    </row>
    <row r="264" spans="1:2" x14ac:dyDescent="0.2">
      <c r="A264" t="s">
        <v>316</v>
      </c>
      <c r="B264" s="8" t="str">
        <f t="shared" si="4"/>
        <v>2024-01-24 17:16:00</v>
      </c>
    </row>
    <row r="265" spans="1:2" x14ac:dyDescent="0.2">
      <c r="A265" t="s">
        <v>317</v>
      </c>
      <c r="B265" s="8" t="str">
        <f t="shared" si="4"/>
        <v>2024-03-28 12:08:00</v>
      </c>
    </row>
    <row r="266" spans="1:2" x14ac:dyDescent="0.2">
      <c r="A266" t="s">
        <v>318</v>
      </c>
      <c r="B266" s="8" t="str">
        <f t="shared" si="4"/>
        <v>2024-04-29 17:37:00</v>
      </c>
    </row>
    <row r="267" spans="1:2" x14ac:dyDescent="0.2">
      <c r="A267" t="s">
        <v>319</v>
      </c>
      <c r="B267" s="8" t="str">
        <f t="shared" si="4"/>
        <v>2024-03-18 18:01:00</v>
      </c>
    </row>
    <row r="268" spans="1:2" x14ac:dyDescent="0.2">
      <c r="A268" t="s">
        <v>320</v>
      </c>
      <c r="B268" s="8" t="str">
        <f t="shared" si="4"/>
        <v>2024-04-16 16:27:00</v>
      </c>
    </row>
    <row r="269" spans="1:2" x14ac:dyDescent="0.2">
      <c r="A269" t="s">
        <v>321</v>
      </c>
      <c r="B269" s="8" t="str">
        <f t="shared" si="4"/>
        <v>2024-04-30 06:01:00</v>
      </c>
    </row>
    <row r="270" spans="1:2" x14ac:dyDescent="0.2">
      <c r="A270" t="s">
        <v>322</v>
      </c>
      <c r="B270" s="8" t="str">
        <f t="shared" si="4"/>
        <v>2024-05-14 07:48:00</v>
      </c>
    </row>
    <row r="271" spans="1:2" x14ac:dyDescent="0.2">
      <c r="A271" t="s">
        <v>323</v>
      </c>
      <c r="B271" s="8" t="str">
        <f t="shared" si="4"/>
        <v>2024-04-10 06:36:00</v>
      </c>
    </row>
    <row r="272" spans="1:2" x14ac:dyDescent="0.2">
      <c r="A272" t="s">
        <v>324</v>
      </c>
      <c r="B272" s="8" t="str">
        <f t="shared" si="4"/>
        <v>2024-03-24 01:47:00</v>
      </c>
    </row>
    <row r="273" spans="1:2" x14ac:dyDescent="0.2">
      <c r="A273" t="s">
        <v>325</v>
      </c>
      <c r="B273" s="8" t="str">
        <f t="shared" si="4"/>
        <v>2024-01-26 12:26:00</v>
      </c>
    </row>
    <row r="274" spans="1:2" x14ac:dyDescent="0.2">
      <c r="A274" t="s">
        <v>326</v>
      </c>
      <c r="B274" s="8" t="str">
        <f t="shared" si="4"/>
        <v>2024-04-24 07:34:00</v>
      </c>
    </row>
    <row r="275" spans="1:2" x14ac:dyDescent="0.2">
      <c r="A275" t="s">
        <v>327</v>
      </c>
      <c r="B275" s="8" t="str">
        <f t="shared" si="4"/>
        <v>2024-03-20 06:05:00</v>
      </c>
    </row>
    <row r="276" spans="1:2" x14ac:dyDescent="0.2">
      <c r="A276" t="s">
        <v>328</v>
      </c>
      <c r="B276" s="8" t="str">
        <f t="shared" si="4"/>
        <v>2024-02-07 23:31:00</v>
      </c>
    </row>
    <row r="277" spans="1:2" x14ac:dyDescent="0.2">
      <c r="A277" t="s">
        <v>329</v>
      </c>
      <c r="B277" s="8" t="str">
        <f t="shared" si="4"/>
        <v>2024-03-18 10:14:00</v>
      </c>
    </row>
    <row r="278" spans="1:2" x14ac:dyDescent="0.2">
      <c r="A278" t="s">
        <v>330</v>
      </c>
      <c r="B278" s="8" t="str">
        <f t="shared" si="4"/>
        <v>2024-01-29 19:40:00</v>
      </c>
    </row>
    <row r="279" spans="1:2" x14ac:dyDescent="0.2">
      <c r="A279" t="s">
        <v>331</v>
      </c>
      <c r="B279" s="8" t="str">
        <f t="shared" si="4"/>
        <v>2024-03-07 11:05:00</v>
      </c>
    </row>
    <row r="280" spans="1:2" x14ac:dyDescent="0.2">
      <c r="A280" t="s">
        <v>332</v>
      </c>
      <c r="B280" s="8" t="str">
        <f t="shared" si="4"/>
        <v>2024-03-06 11:39:00</v>
      </c>
    </row>
    <row r="281" spans="1:2" x14ac:dyDescent="0.2">
      <c r="A281" t="s">
        <v>333</v>
      </c>
      <c r="B281" s="8" t="str">
        <f t="shared" si="4"/>
        <v>2024-04-05 00:37:00</v>
      </c>
    </row>
    <row r="282" spans="1:2" x14ac:dyDescent="0.2">
      <c r="A282" t="s">
        <v>334</v>
      </c>
      <c r="B282" s="8" t="str">
        <f t="shared" si="4"/>
        <v>2024-05-10 10:17:00</v>
      </c>
    </row>
    <row r="283" spans="1:2" x14ac:dyDescent="0.2">
      <c r="A283" t="s">
        <v>335</v>
      </c>
      <c r="B283" s="8" t="str">
        <f t="shared" si="4"/>
        <v>2024-01-31 09:34:00</v>
      </c>
    </row>
    <row r="284" spans="1:2" x14ac:dyDescent="0.2">
      <c r="A284" t="s">
        <v>336</v>
      </c>
      <c r="B284" s="8" t="str">
        <f t="shared" si="4"/>
        <v>2024-03-05 21:28:00</v>
      </c>
    </row>
    <row r="285" spans="1:2" x14ac:dyDescent="0.2">
      <c r="A285" t="s">
        <v>337</v>
      </c>
      <c r="B285" s="8" t="str">
        <f t="shared" si="4"/>
        <v>2024-05-12 06:02:00</v>
      </c>
    </row>
    <row r="286" spans="1:2" x14ac:dyDescent="0.2">
      <c r="A286" t="s">
        <v>338</v>
      </c>
      <c r="B286" s="8" t="str">
        <f t="shared" si="4"/>
        <v>2024-02-06 10:03:00</v>
      </c>
    </row>
    <row r="287" spans="1:2" x14ac:dyDescent="0.2">
      <c r="A287" t="s">
        <v>339</v>
      </c>
      <c r="B287" s="8" t="str">
        <f t="shared" si="4"/>
        <v>2024-03-15 19:33:00</v>
      </c>
    </row>
    <row r="288" spans="1:2" x14ac:dyDescent="0.2">
      <c r="A288" t="s">
        <v>340</v>
      </c>
      <c r="B288" s="8" t="str">
        <f t="shared" si="4"/>
        <v>2024-04-26 15:15:00</v>
      </c>
    </row>
    <row r="289" spans="1:2" x14ac:dyDescent="0.2">
      <c r="A289" t="s">
        <v>341</v>
      </c>
      <c r="B289" s="8" t="str">
        <f t="shared" si="4"/>
        <v>2024-03-19 05:09:00</v>
      </c>
    </row>
    <row r="290" spans="1:2" x14ac:dyDescent="0.2">
      <c r="A290" t="s">
        <v>342</v>
      </c>
      <c r="B290" s="8" t="str">
        <f t="shared" si="4"/>
        <v>2024-01-06 14:50:00</v>
      </c>
    </row>
    <row r="291" spans="1:2" x14ac:dyDescent="0.2">
      <c r="A291" t="s">
        <v>343</v>
      </c>
      <c r="B291" s="8" t="str">
        <f t="shared" si="4"/>
        <v>2024-05-28 22:48:00</v>
      </c>
    </row>
    <row r="292" spans="1:2" x14ac:dyDescent="0.2">
      <c r="A292" t="s">
        <v>344</v>
      </c>
      <c r="B292" s="8" t="str">
        <f t="shared" si="4"/>
        <v>2024-04-22 12:23:00</v>
      </c>
    </row>
    <row r="293" spans="1:2" x14ac:dyDescent="0.2">
      <c r="A293" t="s">
        <v>345</v>
      </c>
      <c r="B293" s="8" t="str">
        <f t="shared" si="4"/>
        <v>2024-01-12 19:15:00</v>
      </c>
    </row>
    <row r="294" spans="1:2" x14ac:dyDescent="0.2">
      <c r="A294" t="s">
        <v>346</v>
      </c>
      <c r="B294" s="8" t="str">
        <f t="shared" si="4"/>
        <v>2024-02-10 06:35:00</v>
      </c>
    </row>
    <row r="295" spans="1:2" x14ac:dyDescent="0.2">
      <c r="A295" t="s">
        <v>347</v>
      </c>
      <c r="B295" s="8" t="str">
        <f t="shared" si="4"/>
        <v>2024-03-12 22:05:00</v>
      </c>
    </row>
    <row r="296" spans="1:2" x14ac:dyDescent="0.2">
      <c r="A296" t="s">
        <v>348</v>
      </c>
      <c r="B296" s="8" t="str">
        <f t="shared" si="4"/>
        <v>2024-05-06 04:00:00</v>
      </c>
    </row>
    <row r="297" spans="1:2" x14ac:dyDescent="0.2">
      <c r="A297" t="s">
        <v>349</v>
      </c>
      <c r="B297" s="8" t="str">
        <f t="shared" si="4"/>
        <v>2024-02-27 05:05:00</v>
      </c>
    </row>
    <row r="298" spans="1:2" x14ac:dyDescent="0.2">
      <c r="A298" t="s">
        <v>350</v>
      </c>
      <c r="B298" s="8" t="str">
        <f t="shared" si="4"/>
        <v>2024-02-16 20:28:00</v>
      </c>
    </row>
    <row r="299" spans="1:2" x14ac:dyDescent="0.2">
      <c r="A299" t="s">
        <v>351</v>
      </c>
      <c r="B299" s="8" t="str">
        <f t="shared" si="4"/>
        <v>2024-05-01 12:19:00</v>
      </c>
    </row>
    <row r="300" spans="1:2" x14ac:dyDescent="0.2">
      <c r="A300" t="s">
        <v>352</v>
      </c>
      <c r="B300" s="8" t="str">
        <f t="shared" si="4"/>
        <v>2024-05-11 16:30:00</v>
      </c>
    </row>
    <row r="301" spans="1:2" x14ac:dyDescent="0.2">
      <c r="A301" t="s">
        <v>353</v>
      </c>
      <c r="B301" s="8" t="str">
        <f t="shared" si="4"/>
        <v>2024-04-03 12:55:00</v>
      </c>
    </row>
    <row r="302" spans="1:2" x14ac:dyDescent="0.2">
      <c r="A302" t="s">
        <v>354</v>
      </c>
      <c r="B302" s="8" t="str">
        <f t="shared" si="4"/>
        <v>2024-04-27 23:11:00</v>
      </c>
    </row>
    <row r="303" spans="1:2" x14ac:dyDescent="0.2">
      <c r="A303" t="s">
        <v>355</v>
      </c>
      <c r="B303" s="8" t="str">
        <f t="shared" si="4"/>
        <v>2024-05-07 00:02:00</v>
      </c>
    </row>
    <row r="304" spans="1:2" x14ac:dyDescent="0.2">
      <c r="A304" t="s">
        <v>356</v>
      </c>
      <c r="B304" s="8" t="str">
        <f t="shared" si="4"/>
        <v>2024-03-21 21:27:00</v>
      </c>
    </row>
    <row r="305" spans="1:2" x14ac:dyDescent="0.2">
      <c r="A305" t="s">
        <v>357</v>
      </c>
      <c r="B305" s="8" t="str">
        <f t="shared" si="4"/>
        <v>2024-01-05 09:37:00</v>
      </c>
    </row>
    <row r="306" spans="1:2" x14ac:dyDescent="0.2">
      <c r="A306" t="s">
        <v>358</v>
      </c>
      <c r="B306" s="8" t="str">
        <f t="shared" si="4"/>
        <v>2024-05-20 17:39:00</v>
      </c>
    </row>
    <row r="307" spans="1:2" x14ac:dyDescent="0.2">
      <c r="A307" t="s">
        <v>359</v>
      </c>
      <c r="B307" s="8" t="str">
        <f t="shared" si="4"/>
        <v>2024-01-25 01:53:00</v>
      </c>
    </row>
    <row r="308" spans="1:2" x14ac:dyDescent="0.2">
      <c r="A308" t="s">
        <v>360</v>
      </c>
      <c r="B308" s="8" t="str">
        <f t="shared" si="4"/>
        <v>2024-05-14 15:24:00</v>
      </c>
    </row>
    <row r="309" spans="1:2" x14ac:dyDescent="0.2">
      <c r="A309" t="s">
        <v>361</v>
      </c>
      <c r="B309" s="8" t="str">
        <f t="shared" si="4"/>
        <v>2024-01-12 04:14:00</v>
      </c>
    </row>
    <row r="310" spans="1:2" x14ac:dyDescent="0.2">
      <c r="A310" t="s">
        <v>362</v>
      </c>
      <c r="B310" s="8" t="str">
        <f t="shared" si="4"/>
        <v>2024-03-03 22:07:00</v>
      </c>
    </row>
    <row r="311" spans="1:2" x14ac:dyDescent="0.2">
      <c r="A311" t="s">
        <v>363</v>
      </c>
      <c r="B311" s="8" t="str">
        <f t="shared" si="4"/>
        <v>2024-04-04 04:41:00</v>
      </c>
    </row>
    <row r="312" spans="1:2" x14ac:dyDescent="0.2">
      <c r="A312" t="s">
        <v>364</v>
      </c>
      <c r="B312" s="8" t="str">
        <f t="shared" si="4"/>
        <v>2024-04-30 07:49:00</v>
      </c>
    </row>
    <row r="313" spans="1:2" x14ac:dyDescent="0.2">
      <c r="A313" t="s">
        <v>365</v>
      </c>
      <c r="B313" s="8" t="str">
        <f t="shared" si="4"/>
        <v>2024-04-24 06:59:00</v>
      </c>
    </row>
    <row r="314" spans="1:2" x14ac:dyDescent="0.2">
      <c r="A314" t="s">
        <v>366</v>
      </c>
      <c r="B314" s="8" t="str">
        <f t="shared" si="4"/>
        <v>2024-05-12 20:11:00</v>
      </c>
    </row>
    <row r="315" spans="1:2" x14ac:dyDescent="0.2">
      <c r="A315" t="s">
        <v>367</v>
      </c>
      <c r="B315" s="8" t="str">
        <f t="shared" si="4"/>
        <v>2024-03-05 02:49:00</v>
      </c>
    </row>
    <row r="316" spans="1:2" x14ac:dyDescent="0.2">
      <c r="A316" t="s">
        <v>368</v>
      </c>
      <c r="B316" s="8" t="str">
        <f t="shared" si="4"/>
        <v>2024-05-26 14:14:00</v>
      </c>
    </row>
    <row r="317" spans="1:2" x14ac:dyDescent="0.2">
      <c r="A317" t="s">
        <v>369</v>
      </c>
      <c r="B317" s="8" t="str">
        <f t="shared" si="4"/>
        <v>2024-03-22 19:39:00</v>
      </c>
    </row>
    <row r="318" spans="1:2" x14ac:dyDescent="0.2">
      <c r="A318" t="s">
        <v>370</v>
      </c>
      <c r="B318" s="8" t="str">
        <f t="shared" si="4"/>
        <v>2024-02-15 09:53:00</v>
      </c>
    </row>
    <row r="319" spans="1:2" x14ac:dyDescent="0.2">
      <c r="A319" t="s">
        <v>371</v>
      </c>
      <c r="B319" s="8" t="str">
        <f t="shared" si="4"/>
        <v>2024-04-09 22:37:00</v>
      </c>
    </row>
    <row r="320" spans="1:2" x14ac:dyDescent="0.2">
      <c r="A320" t="s">
        <v>372</v>
      </c>
      <c r="B320" s="8" t="str">
        <f t="shared" si="4"/>
        <v>2024-02-21 02:13:00</v>
      </c>
    </row>
    <row r="321" spans="1:2" x14ac:dyDescent="0.2">
      <c r="A321" t="s">
        <v>373</v>
      </c>
      <c r="B321" s="8" t="str">
        <f t="shared" si="4"/>
        <v>2024-05-04 18:55:00</v>
      </c>
    </row>
    <row r="322" spans="1:2" x14ac:dyDescent="0.2">
      <c r="A322" t="s">
        <v>374</v>
      </c>
      <c r="B322" s="8" t="str">
        <f t="shared" si="4"/>
        <v>2024-05-22 10:31:00</v>
      </c>
    </row>
    <row r="323" spans="1:2" x14ac:dyDescent="0.2">
      <c r="A323" t="s">
        <v>375</v>
      </c>
      <c r="B323" s="8" t="str">
        <f t="shared" ref="B323:C386" si="5">RIGHT(A323,19)</f>
        <v>2024-04-19 10:50:00</v>
      </c>
    </row>
    <row r="324" spans="1:2" x14ac:dyDescent="0.2">
      <c r="A324" t="s">
        <v>376</v>
      </c>
      <c r="B324" s="8" t="str">
        <f t="shared" si="5"/>
        <v>2024-03-27 23:01:00</v>
      </c>
    </row>
    <row r="325" spans="1:2" x14ac:dyDescent="0.2">
      <c r="A325" t="s">
        <v>377</v>
      </c>
      <c r="B325" s="8" t="str">
        <f t="shared" si="5"/>
        <v>2024-02-10 10:28:00</v>
      </c>
    </row>
    <row r="326" spans="1:2" x14ac:dyDescent="0.2">
      <c r="A326" t="s">
        <v>378</v>
      </c>
      <c r="B326" s="8" t="str">
        <f t="shared" si="5"/>
        <v>2024-03-07 17:44:00</v>
      </c>
    </row>
    <row r="327" spans="1:2" x14ac:dyDescent="0.2">
      <c r="A327" t="s">
        <v>379</v>
      </c>
      <c r="B327" s="8" t="str">
        <f t="shared" si="5"/>
        <v>2024-03-16 00:58:00</v>
      </c>
    </row>
    <row r="328" spans="1:2" x14ac:dyDescent="0.2">
      <c r="A328" t="s">
        <v>380</v>
      </c>
      <c r="B328" s="8" t="str">
        <f t="shared" si="5"/>
        <v>2024-04-25 04:37:00</v>
      </c>
    </row>
    <row r="329" spans="1:2" x14ac:dyDescent="0.2">
      <c r="A329" t="s">
        <v>381</v>
      </c>
      <c r="B329" s="8" t="str">
        <f t="shared" si="5"/>
        <v>2024-02-14 00:27:00</v>
      </c>
    </row>
    <row r="330" spans="1:2" x14ac:dyDescent="0.2">
      <c r="A330" t="s">
        <v>382</v>
      </c>
      <c r="B330" s="8" t="str">
        <f t="shared" si="5"/>
        <v>2024-05-23 18:44:00</v>
      </c>
    </row>
    <row r="331" spans="1:2" x14ac:dyDescent="0.2">
      <c r="A331" t="s">
        <v>383</v>
      </c>
      <c r="B331" s="8" t="str">
        <f t="shared" si="5"/>
        <v>2024-01-18 07:48:00</v>
      </c>
    </row>
    <row r="332" spans="1:2" x14ac:dyDescent="0.2">
      <c r="A332" t="s">
        <v>384</v>
      </c>
      <c r="B332" s="8" t="str">
        <f t="shared" si="5"/>
        <v>2024-01-18 01:48:00</v>
      </c>
    </row>
    <row r="333" spans="1:2" x14ac:dyDescent="0.2">
      <c r="A333" t="s">
        <v>385</v>
      </c>
      <c r="B333" s="8" t="str">
        <f t="shared" si="5"/>
        <v>2024-03-10 07:56:00</v>
      </c>
    </row>
    <row r="334" spans="1:2" x14ac:dyDescent="0.2">
      <c r="A334" t="s">
        <v>386</v>
      </c>
      <c r="B334" s="8" t="str">
        <f t="shared" si="5"/>
        <v>2024-02-11 13:31:00</v>
      </c>
    </row>
    <row r="335" spans="1:2" x14ac:dyDescent="0.2">
      <c r="A335" t="s">
        <v>387</v>
      </c>
      <c r="B335" s="8" t="str">
        <f t="shared" si="5"/>
        <v>2024-04-28 14:38:00</v>
      </c>
    </row>
    <row r="336" spans="1:2" x14ac:dyDescent="0.2">
      <c r="A336" t="s">
        <v>388</v>
      </c>
      <c r="B336" s="8" t="str">
        <f t="shared" si="5"/>
        <v>2024-01-31 10:14:00</v>
      </c>
    </row>
    <row r="337" spans="1:2" x14ac:dyDescent="0.2">
      <c r="A337" t="s">
        <v>389</v>
      </c>
      <c r="B337" s="8" t="str">
        <f t="shared" si="5"/>
        <v>2024-01-24 08:53:00</v>
      </c>
    </row>
    <row r="338" spans="1:2" x14ac:dyDescent="0.2">
      <c r="A338" t="s">
        <v>390</v>
      </c>
      <c r="B338" s="8" t="str">
        <f t="shared" si="5"/>
        <v>2024-03-06 13:02:00</v>
      </c>
    </row>
    <row r="339" spans="1:2" x14ac:dyDescent="0.2">
      <c r="A339" t="s">
        <v>391</v>
      </c>
      <c r="B339" s="8" t="str">
        <f t="shared" si="5"/>
        <v>2024-01-10 04:30:00</v>
      </c>
    </row>
    <row r="340" spans="1:2" x14ac:dyDescent="0.2">
      <c r="A340" t="s">
        <v>392</v>
      </c>
      <c r="B340" s="8" t="str">
        <f t="shared" si="5"/>
        <v>2024-03-10 20:07:00</v>
      </c>
    </row>
    <row r="341" spans="1:2" x14ac:dyDescent="0.2">
      <c r="A341" t="s">
        <v>393</v>
      </c>
      <c r="B341" s="8" t="str">
        <f t="shared" si="5"/>
        <v>2024-01-21 03:50:00</v>
      </c>
    </row>
    <row r="342" spans="1:2" x14ac:dyDescent="0.2">
      <c r="A342" t="s">
        <v>394</v>
      </c>
      <c r="B342" s="8" t="str">
        <f t="shared" si="5"/>
        <v>2024-01-02 14:52:00</v>
      </c>
    </row>
    <row r="343" spans="1:2" x14ac:dyDescent="0.2">
      <c r="A343" t="s">
        <v>395</v>
      </c>
      <c r="B343" s="8" t="str">
        <f t="shared" si="5"/>
        <v>2024-02-19 00:42:00</v>
      </c>
    </row>
    <row r="344" spans="1:2" x14ac:dyDescent="0.2">
      <c r="A344" t="s">
        <v>396</v>
      </c>
      <c r="B344" s="8" t="str">
        <f t="shared" si="5"/>
        <v>2024-05-07 10:03:00</v>
      </c>
    </row>
    <row r="345" spans="1:2" x14ac:dyDescent="0.2">
      <c r="A345" t="s">
        <v>397</v>
      </c>
      <c r="B345" s="8" t="str">
        <f t="shared" si="5"/>
        <v>2024-05-29 15:15:00</v>
      </c>
    </row>
    <row r="346" spans="1:2" x14ac:dyDescent="0.2">
      <c r="A346" t="s">
        <v>398</v>
      </c>
      <c r="B346" s="8" t="str">
        <f t="shared" si="5"/>
        <v>2024-01-07 19:48:00</v>
      </c>
    </row>
    <row r="347" spans="1:2" x14ac:dyDescent="0.2">
      <c r="A347" t="s">
        <v>399</v>
      </c>
      <c r="B347" s="8" t="str">
        <f t="shared" si="5"/>
        <v>2024-04-24 01:07:00</v>
      </c>
    </row>
    <row r="348" spans="1:2" x14ac:dyDescent="0.2">
      <c r="A348" t="s">
        <v>400</v>
      </c>
      <c r="B348" s="8" t="str">
        <f t="shared" si="5"/>
        <v>2024-03-04 16:01:00</v>
      </c>
    </row>
    <row r="349" spans="1:2" x14ac:dyDescent="0.2">
      <c r="A349" t="s">
        <v>401</v>
      </c>
      <c r="B349" s="8" t="str">
        <f t="shared" si="5"/>
        <v>2024-04-16 07:21:00</v>
      </c>
    </row>
    <row r="350" spans="1:2" x14ac:dyDescent="0.2">
      <c r="A350" t="s">
        <v>402</v>
      </c>
      <c r="B350" s="8" t="str">
        <f t="shared" si="5"/>
        <v>2024-02-27 21:47:00</v>
      </c>
    </row>
    <row r="351" spans="1:2" x14ac:dyDescent="0.2">
      <c r="A351" t="s">
        <v>403</v>
      </c>
      <c r="B351" s="8" t="str">
        <f t="shared" si="5"/>
        <v>2024-04-25 18:57:00</v>
      </c>
    </row>
    <row r="352" spans="1:2" x14ac:dyDescent="0.2">
      <c r="A352" t="s">
        <v>404</v>
      </c>
      <c r="B352" s="8" t="str">
        <f t="shared" si="5"/>
        <v>2024-01-20 15:44:00</v>
      </c>
    </row>
    <row r="353" spans="1:2" x14ac:dyDescent="0.2">
      <c r="A353" t="s">
        <v>405</v>
      </c>
      <c r="B353" s="8" t="str">
        <f t="shared" si="5"/>
        <v>2024-01-02 15:25:00</v>
      </c>
    </row>
    <row r="354" spans="1:2" x14ac:dyDescent="0.2">
      <c r="A354" t="s">
        <v>406</v>
      </c>
      <c r="B354" s="8" t="str">
        <f t="shared" si="5"/>
        <v>2024-02-26 19:31:00</v>
      </c>
    </row>
    <row r="355" spans="1:2" x14ac:dyDescent="0.2">
      <c r="A355" t="s">
        <v>407</v>
      </c>
      <c r="B355" s="8" t="str">
        <f t="shared" si="5"/>
        <v>2024-02-18 08:18:00</v>
      </c>
    </row>
    <row r="356" spans="1:2" x14ac:dyDescent="0.2">
      <c r="A356" t="s">
        <v>408</v>
      </c>
      <c r="B356" s="8" t="str">
        <f t="shared" si="5"/>
        <v>2024-01-19 02:26:00</v>
      </c>
    </row>
    <row r="357" spans="1:2" x14ac:dyDescent="0.2">
      <c r="A357" t="s">
        <v>409</v>
      </c>
      <c r="B357" s="8" t="str">
        <f t="shared" si="5"/>
        <v>2024-01-16 17:04:00</v>
      </c>
    </row>
    <row r="358" spans="1:2" x14ac:dyDescent="0.2">
      <c r="A358" t="s">
        <v>410</v>
      </c>
      <c r="B358" s="8" t="str">
        <f t="shared" si="5"/>
        <v>2024-04-19 21:54:00</v>
      </c>
    </row>
    <row r="359" spans="1:2" x14ac:dyDescent="0.2">
      <c r="A359" t="s">
        <v>411</v>
      </c>
      <c r="B359" s="8" t="str">
        <f t="shared" si="5"/>
        <v>2024-03-10 23:04:00</v>
      </c>
    </row>
    <row r="360" spans="1:2" x14ac:dyDescent="0.2">
      <c r="A360" t="s">
        <v>412</v>
      </c>
      <c r="B360" s="8" t="str">
        <f t="shared" si="5"/>
        <v>2024-05-17 02:59:00</v>
      </c>
    </row>
    <row r="361" spans="1:2" x14ac:dyDescent="0.2">
      <c r="A361" t="s">
        <v>413</v>
      </c>
      <c r="B361" s="8" t="str">
        <f t="shared" si="5"/>
        <v>2024-01-11 19:54:00</v>
      </c>
    </row>
    <row r="362" spans="1:2" x14ac:dyDescent="0.2">
      <c r="A362" t="s">
        <v>414</v>
      </c>
      <c r="B362" s="8" t="str">
        <f t="shared" si="5"/>
        <v>2024-02-03 00:48:00</v>
      </c>
    </row>
    <row r="363" spans="1:2" x14ac:dyDescent="0.2">
      <c r="A363" t="s">
        <v>415</v>
      </c>
      <c r="B363" s="8" t="str">
        <f t="shared" si="5"/>
        <v>2024-02-16 15:37:00</v>
      </c>
    </row>
    <row r="364" spans="1:2" x14ac:dyDescent="0.2">
      <c r="A364" t="s">
        <v>416</v>
      </c>
      <c r="B364" s="8" t="str">
        <f t="shared" si="5"/>
        <v>2024-01-12 02:11:00</v>
      </c>
    </row>
    <row r="365" spans="1:2" x14ac:dyDescent="0.2">
      <c r="A365" t="s">
        <v>417</v>
      </c>
      <c r="B365" s="8" t="str">
        <f t="shared" si="5"/>
        <v>2024-02-21 15:03:00</v>
      </c>
    </row>
    <row r="366" spans="1:2" x14ac:dyDescent="0.2">
      <c r="A366" t="s">
        <v>418</v>
      </c>
      <c r="B366" s="8" t="str">
        <f t="shared" si="5"/>
        <v>2024-03-20 06:14:00</v>
      </c>
    </row>
    <row r="367" spans="1:2" x14ac:dyDescent="0.2">
      <c r="A367" t="s">
        <v>419</v>
      </c>
      <c r="B367" s="8" t="str">
        <f t="shared" si="5"/>
        <v>2024-03-23 10:17:00</v>
      </c>
    </row>
    <row r="368" spans="1:2" x14ac:dyDescent="0.2">
      <c r="A368" t="s">
        <v>420</v>
      </c>
      <c r="B368" s="8" t="str">
        <f t="shared" si="5"/>
        <v>2024-04-19 21:57:00</v>
      </c>
    </row>
    <row r="369" spans="1:2" x14ac:dyDescent="0.2">
      <c r="A369" t="s">
        <v>421</v>
      </c>
      <c r="B369" s="8" t="str">
        <f t="shared" si="5"/>
        <v>2024-01-31 10:54:00</v>
      </c>
    </row>
    <row r="370" spans="1:2" x14ac:dyDescent="0.2">
      <c r="A370" t="s">
        <v>422</v>
      </c>
      <c r="B370" s="8" t="str">
        <f t="shared" si="5"/>
        <v>2024-04-20 16:18:00</v>
      </c>
    </row>
    <row r="371" spans="1:2" x14ac:dyDescent="0.2">
      <c r="A371" t="s">
        <v>423</v>
      </c>
      <c r="B371" s="8" t="str">
        <f t="shared" si="5"/>
        <v>2024-02-22 06:28:00</v>
      </c>
    </row>
    <row r="372" spans="1:2" x14ac:dyDescent="0.2">
      <c r="A372" t="s">
        <v>424</v>
      </c>
      <c r="B372" s="8" t="str">
        <f t="shared" si="5"/>
        <v>2024-04-20 21:01:00</v>
      </c>
    </row>
    <row r="373" spans="1:2" x14ac:dyDescent="0.2">
      <c r="A373" t="s">
        <v>425</v>
      </c>
      <c r="B373" s="8" t="str">
        <f t="shared" si="5"/>
        <v>2024-03-24 22:39:00</v>
      </c>
    </row>
    <row r="374" spans="1:2" x14ac:dyDescent="0.2">
      <c r="A374" t="s">
        <v>426</v>
      </c>
      <c r="B374" s="8" t="str">
        <f t="shared" si="5"/>
        <v>2024-02-23 11:46:00</v>
      </c>
    </row>
    <row r="375" spans="1:2" x14ac:dyDescent="0.2">
      <c r="A375" t="s">
        <v>427</v>
      </c>
      <c r="B375" s="8" t="str">
        <f t="shared" si="5"/>
        <v>2024-04-13 07:34:00</v>
      </c>
    </row>
    <row r="376" spans="1:2" x14ac:dyDescent="0.2">
      <c r="A376" t="s">
        <v>428</v>
      </c>
      <c r="B376" s="8" t="str">
        <f t="shared" si="5"/>
        <v>2024-01-16 22:31:00</v>
      </c>
    </row>
    <row r="377" spans="1:2" x14ac:dyDescent="0.2">
      <c r="A377" t="s">
        <v>429</v>
      </c>
      <c r="B377" s="8" t="str">
        <f t="shared" si="5"/>
        <v>2024-01-16 20:35:00</v>
      </c>
    </row>
    <row r="378" spans="1:2" x14ac:dyDescent="0.2">
      <c r="A378" t="s">
        <v>430</v>
      </c>
      <c r="B378" s="8" t="str">
        <f t="shared" si="5"/>
        <v>2024-04-05 08:53:00</v>
      </c>
    </row>
    <row r="379" spans="1:2" x14ac:dyDescent="0.2">
      <c r="A379" t="s">
        <v>431</v>
      </c>
      <c r="B379" s="8" t="str">
        <f t="shared" si="5"/>
        <v>2024-05-21 09:50:00</v>
      </c>
    </row>
    <row r="380" spans="1:2" x14ac:dyDescent="0.2">
      <c r="A380" t="s">
        <v>432</v>
      </c>
      <c r="B380" s="8" t="str">
        <f t="shared" si="5"/>
        <v>2024-03-15 03:59:00</v>
      </c>
    </row>
    <row r="381" spans="1:2" x14ac:dyDescent="0.2">
      <c r="A381" t="s">
        <v>433</v>
      </c>
      <c r="B381" s="8" t="str">
        <f t="shared" si="5"/>
        <v>2024-03-20 07:06:00</v>
      </c>
    </row>
    <row r="382" spans="1:2" x14ac:dyDescent="0.2">
      <c r="A382" t="s">
        <v>434</v>
      </c>
      <c r="B382" s="8" t="str">
        <f t="shared" si="5"/>
        <v>2024-02-18 04:44:00</v>
      </c>
    </row>
    <row r="383" spans="1:2" x14ac:dyDescent="0.2">
      <c r="A383" t="s">
        <v>435</v>
      </c>
      <c r="B383" s="8" t="str">
        <f t="shared" si="5"/>
        <v>2024-03-22 16:14:00</v>
      </c>
    </row>
    <row r="384" spans="1:2" x14ac:dyDescent="0.2">
      <c r="A384" t="s">
        <v>436</v>
      </c>
      <c r="B384" s="8" t="str">
        <f t="shared" si="5"/>
        <v>2024-03-19 08:53:00</v>
      </c>
    </row>
    <row r="385" spans="1:2" x14ac:dyDescent="0.2">
      <c r="A385" t="s">
        <v>437</v>
      </c>
      <c r="B385" s="8" t="str">
        <f t="shared" si="5"/>
        <v>2024-01-21 22:53:00</v>
      </c>
    </row>
    <row r="386" spans="1:2" x14ac:dyDescent="0.2">
      <c r="A386" t="s">
        <v>438</v>
      </c>
      <c r="B386" s="8" t="str">
        <f t="shared" si="5"/>
        <v>2024-02-13 18:46:00</v>
      </c>
    </row>
    <row r="387" spans="1:2" x14ac:dyDescent="0.2">
      <c r="A387" t="s">
        <v>439</v>
      </c>
      <c r="B387" s="8" t="str">
        <f t="shared" ref="B387:C450" si="6">RIGHT(A387,19)</f>
        <v>2024-04-01 18:07:00</v>
      </c>
    </row>
    <row r="388" spans="1:2" x14ac:dyDescent="0.2">
      <c r="A388" t="s">
        <v>440</v>
      </c>
      <c r="B388" s="8" t="str">
        <f t="shared" si="6"/>
        <v>2024-05-01 19:02:00</v>
      </c>
    </row>
    <row r="389" spans="1:2" x14ac:dyDescent="0.2">
      <c r="A389" t="s">
        <v>441</v>
      </c>
      <c r="B389" s="8" t="str">
        <f t="shared" si="6"/>
        <v>2024-04-22 13:36:00</v>
      </c>
    </row>
    <row r="390" spans="1:2" x14ac:dyDescent="0.2">
      <c r="A390" t="s">
        <v>442</v>
      </c>
      <c r="B390" s="8" t="str">
        <f t="shared" si="6"/>
        <v>2024-04-25 19:55:00</v>
      </c>
    </row>
    <row r="391" spans="1:2" x14ac:dyDescent="0.2">
      <c r="A391" t="s">
        <v>443</v>
      </c>
      <c r="B391" s="8" t="str">
        <f t="shared" si="6"/>
        <v>2024-02-11 00:27:00</v>
      </c>
    </row>
    <row r="392" spans="1:2" x14ac:dyDescent="0.2">
      <c r="A392" t="s">
        <v>444</v>
      </c>
      <c r="B392" s="8" t="str">
        <f t="shared" si="6"/>
        <v>2024-02-21 18:03:00</v>
      </c>
    </row>
    <row r="393" spans="1:2" x14ac:dyDescent="0.2">
      <c r="A393" t="s">
        <v>445</v>
      </c>
      <c r="B393" s="8" t="str">
        <f t="shared" si="6"/>
        <v>2024-05-11 09:30:00</v>
      </c>
    </row>
    <row r="394" spans="1:2" x14ac:dyDescent="0.2">
      <c r="A394" t="s">
        <v>446</v>
      </c>
      <c r="B394" s="8" t="str">
        <f t="shared" si="6"/>
        <v>2024-05-30 06:51:00</v>
      </c>
    </row>
    <row r="395" spans="1:2" x14ac:dyDescent="0.2">
      <c r="A395" t="s">
        <v>447</v>
      </c>
      <c r="B395" s="8" t="str">
        <f t="shared" si="6"/>
        <v>2024-04-26 12:52:00</v>
      </c>
    </row>
    <row r="396" spans="1:2" x14ac:dyDescent="0.2">
      <c r="A396" t="s">
        <v>448</v>
      </c>
      <c r="B396" s="8" t="str">
        <f t="shared" si="6"/>
        <v>2024-02-25 09:42:00</v>
      </c>
    </row>
    <row r="397" spans="1:2" x14ac:dyDescent="0.2">
      <c r="A397" t="s">
        <v>449</v>
      </c>
      <c r="B397" s="8" t="str">
        <f t="shared" si="6"/>
        <v>2024-05-02 11:03:00</v>
      </c>
    </row>
    <row r="398" spans="1:2" x14ac:dyDescent="0.2">
      <c r="A398" t="s">
        <v>450</v>
      </c>
      <c r="B398" s="8" t="str">
        <f t="shared" si="6"/>
        <v>2024-01-09 13:49:00</v>
      </c>
    </row>
    <row r="399" spans="1:2" x14ac:dyDescent="0.2">
      <c r="A399" t="s">
        <v>451</v>
      </c>
      <c r="B399" s="8" t="str">
        <f t="shared" si="6"/>
        <v>2024-04-20 05:03:00</v>
      </c>
    </row>
    <row r="400" spans="1:2" x14ac:dyDescent="0.2">
      <c r="A400" t="s">
        <v>452</v>
      </c>
      <c r="B400" s="8" t="str">
        <f t="shared" si="6"/>
        <v>2024-03-14 01:22:00</v>
      </c>
    </row>
    <row r="401" spans="1:2" x14ac:dyDescent="0.2">
      <c r="A401" t="s">
        <v>453</v>
      </c>
      <c r="B401" s="8" t="str">
        <f t="shared" si="6"/>
        <v>2024-02-18 01:46:00</v>
      </c>
    </row>
    <row r="402" spans="1:2" x14ac:dyDescent="0.2">
      <c r="A402" t="s">
        <v>454</v>
      </c>
      <c r="B402" s="8" t="str">
        <f t="shared" si="6"/>
        <v>2024-02-10 14:13:00</v>
      </c>
    </row>
    <row r="403" spans="1:2" x14ac:dyDescent="0.2">
      <c r="A403" t="s">
        <v>455</v>
      </c>
      <c r="B403" s="8" t="str">
        <f t="shared" si="6"/>
        <v>2024-03-06 01:10:00</v>
      </c>
    </row>
    <row r="404" spans="1:2" x14ac:dyDescent="0.2">
      <c r="A404" t="s">
        <v>456</v>
      </c>
      <c r="B404" s="8" t="str">
        <f t="shared" si="6"/>
        <v>2024-03-09 21:51:00</v>
      </c>
    </row>
    <row r="405" spans="1:2" x14ac:dyDescent="0.2">
      <c r="A405" t="s">
        <v>457</v>
      </c>
      <c r="B405" s="8" t="str">
        <f t="shared" si="6"/>
        <v>2024-03-25 04:21:00</v>
      </c>
    </row>
    <row r="406" spans="1:2" x14ac:dyDescent="0.2">
      <c r="A406" t="s">
        <v>458</v>
      </c>
      <c r="B406" s="8" t="str">
        <f t="shared" si="6"/>
        <v>2024-04-07 02:42:00</v>
      </c>
    </row>
    <row r="407" spans="1:2" x14ac:dyDescent="0.2">
      <c r="A407" t="s">
        <v>459</v>
      </c>
      <c r="B407" s="8" t="str">
        <f t="shared" si="6"/>
        <v>2024-02-08 13:41:00</v>
      </c>
    </row>
    <row r="408" spans="1:2" x14ac:dyDescent="0.2">
      <c r="A408" t="s">
        <v>460</v>
      </c>
      <c r="B408" s="8" t="str">
        <f t="shared" si="6"/>
        <v>2024-03-03 05:09:00</v>
      </c>
    </row>
    <row r="409" spans="1:2" x14ac:dyDescent="0.2">
      <c r="A409" t="s">
        <v>461</v>
      </c>
      <c r="B409" s="8" t="str">
        <f t="shared" si="6"/>
        <v>2024-03-31 20:31:00</v>
      </c>
    </row>
    <row r="410" spans="1:2" x14ac:dyDescent="0.2">
      <c r="A410" t="s">
        <v>462</v>
      </c>
      <c r="B410" s="8" t="str">
        <f t="shared" si="6"/>
        <v>2024-05-19 20:25:00</v>
      </c>
    </row>
    <row r="411" spans="1:2" x14ac:dyDescent="0.2">
      <c r="A411" t="s">
        <v>463</v>
      </c>
      <c r="B411" s="8" t="str">
        <f t="shared" si="6"/>
        <v>2024-03-06 02:37:00</v>
      </c>
    </row>
    <row r="412" spans="1:2" x14ac:dyDescent="0.2">
      <c r="A412" t="s">
        <v>464</v>
      </c>
      <c r="B412" s="8" t="str">
        <f t="shared" si="6"/>
        <v>2024-04-17 15:17:00</v>
      </c>
    </row>
    <row r="413" spans="1:2" x14ac:dyDescent="0.2">
      <c r="A413" t="s">
        <v>465</v>
      </c>
      <c r="B413" s="8" t="str">
        <f t="shared" si="6"/>
        <v>2024-04-22 20:52:00</v>
      </c>
    </row>
    <row r="414" spans="1:2" x14ac:dyDescent="0.2">
      <c r="A414" t="s">
        <v>466</v>
      </c>
      <c r="B414" s="8" t="str">
        <f t="shared" si="6"/>
        <v>2024-02-19 12:17:00</v>
      </c>
    </row>
    <row r="415" spans="1:2" x14ac:dyDescent="0.2">
      <c r="A415" t="s">
        <v>467</v>
      </c>
      <c r="B415" s="8" t="str">
        <f t="shared" si="6"/>
        <v>2024-03-11 00:20:00</v>
      </c>
    </row>
    <row r="416" spans="1:2" x14ac:dyDescent="0.2">
      <c r="A416" t="s">
        <v>468</v>
      </c>
      <c r="B416" s="8" t="str">
        <f t="shared" si="6"/>
        <v>2024-04-30 20:21:00</v>
      </c>
    </row>
    <row r="417" spans="1:2" x14ac:dyDescent="0.2">
      <c r="A417" t="s">
        <v>469</v>
      </c>
      <c r="B417" s="8" t="str">
        <f t="shared" si="6"/>
        <v>2024-05-09 04:06:00</v>
      </c>
    </row>
    <row r="418" spans="1:2" x14ac:dyDescent="0.2">
      <c r="A418" t="s">
        <v>470</v>
      </c>
      <c r="B418" s="8" t="str">
        <f t="shared" si="6"/>
        <v>2024-02-16 06:35:00</v>
      </c>
    </row>
    <row r="419" spans="1:2" x14ac:dyDescent="0.2">
      <c r="A419" t="s">
        <v>471</v>
      </c>
      <c r="B419" s="8" t="str">
        <f t="shared" si="6"/>
        <v>2024-02-15 17:32:00</v>
      </c>
    </row>
    <row r="420" spans="1:2" x14ac:dyDescent="0.2">
      <c r="A420" t="s">
        <v>472</v>
      </c>
      <c r="B420" s="8" t="str">
        <f t="shared" si="6"/>
        <v>2024-05-09 15:48:00</v>
      </c>
    </row>
    <row r="421" spans="1:2" x14ac:dyDescent="0.2">
      <c r="A421" t="s">
        <v>473</v>
      </c>
      <c r="B421" s="8" t="str">
        <f t="shared" si="6"/>
        <v>2024-03-27 13:48:00</v>
      </c>
    </row>
    <row r="422" spans="1:2" x14ac:dyDescent="0.2">
      <c r="A422" t="s">
        <v>474</v>
      </c>
      <c r="B422" s="8" t="str">
        <f t="shared" si="6"/>
        <v>2024-02-17 22:26:00</v>
      </c>
    </row>
    <row r="423" spans="1:2" x14ac:dyDescent="0.2">
      <c r="A423" t="s">
        <v>475</v>
      </c>
      <c r="B423" s="8" t="str">
        <f t="shared" si="6"/>
        <v>2024-05-22 16:23:00</v>
      </c>
    </row>
    <row r="424" spans="1:2" x14ac:dyDescent="0.2">
      <c r="A424" t="s">
        <v>476</v>
      </c>
      <c r="B424" s="8" t="str">
        <f t="shared" si="6"/>
        <v>2024-01-22 09:55:00</v>
      </c>
    </row>
    <row r="425" spans="1:2" x14ac:dyDescent="0.2">
      <c r="A425" t="s">
        <v>477</v>
      </c>
      <c r="B425" s="8" t="str">
        <f t="shared" si="6"/>
        <v>2024-03-29 13:58:00</v>
      </c>
    </row>
    <row r="426" spans="1:2" x14ac:dyDescent="0.2">
      <c r="A426" t="s">
        <v>478</v>
      </c>
      <c r="B426" s="8" t="str">
        <f t="shared" si="6"/>
        <v>2024-05-05 04:18:00</v>
      </c>
    </row>
    <row r="427" spans="1:2" x14ac:dyDescent="0.2">
      <c r="A427" t="s">
        <v>479</v>
      </c>
      <c r="B427" s="8" t="str">
        <f t="shared" si="6"/>
        <v>2024-02-12 07:18:00</v>
      </c>
    </row>
    <row r="428" spans="1:2" x14ac:dyDescent="0.2">
      <c r="A428" t="s">
        <v>480</v>
      </c>
      <c r="B428" s="8" t="str">
        <f t="shared" si="6"/>
        <v>2024-03-07 05:13:00</v>
      </c>
    </row>
    <row r="429" spans="1:2" x14ac:dyDescent="0.2">
      <c r="A429" t="s">
        <v>481</v>
      </c>
      <c r="B429" s="8" t="str">
        <f t="shared" si="6"/>
        <v>2024-03-29 15:56:00</v>
      </c>
    </row>
    <row r="430" spans="1:2" x14ac:dyDescent="0.2">
      <c r="A430" t="s">
        <v>482</v>
      </c>
      <c r="B430" s="8" t="str">
        <f t="shared" si="6"/>
        <v>2024-01-20 02:55:00</v>
      </c>
    </row>
    <row r="431" spans="1:2" x14ac:dyDescent="0.2">
      <c r="A431" t="s">
        <v>483</v>
      </c>
      <c r="B431" s="8" t="str">
        <f t="shared" si="6"/>
        <v>2024-03-28 18:12:00</v>
      </c>
    </row>
    <row r="432" spans="1:2" x14ac:dyDescent="0.2">
      <c r="A432" t="s">
        <v>484</v>
      </c>
      <c r="B432" s="8" t="str">
        <f t="shared" si="6"/>
        <v>2024-04-13 22:41:00</v>
      </c>
    </row>
    <row r="433" spans="1:2" x14ac:dyDescent="0.2">
      <c r="A433" t="s">
        <v>485</v>
      </c>
      <c r="B433" s="8" t="str">
        <f t="shared" si="6"/>
        <v>2024-01-07 02:06:00</v>
      </c>
    </row>
    <row r="434" spans="1:2" x14ac:dyDescent="0.2">
      <c r="A434" t="s">
        <v>486</v>
      </c>
      <c r="B434" s="8" t="str">
        <f t="shared" si="6"/>
        <v>2024-01-18 18:49:00</v>
      </c>
    </row>
    <row r="435" spans="1:2" x14ac:dyDescent="0.2">
      <c r="A435" t="s">
        <v>487</v>
      </c>
      <c r="B435" s="8" t="str">
        <f t="shared" si="6"/>
        <v>2024-05-28 12:45:00</v>
      </c>
    </row>
    <row r="436" spans="1:2" x14ac:dyDescent="0.2">
      <c r="A436" t="s">
        <v>488</v>
      </c>
      <c r="B436" s="8" t="str">
        <f t="shared" si="6"/>
        <v>2024-05-12 13:59:00</v>
      </c>
    </row>
    <row r="437" spans="1:2" x14ac:dyDescent="0.2">
      <c r="A437" t="s">
        <v>489</v>
      </c>
      <c r="B437" s="8" t="str">
        <f t="shared" si="6"/>
        <v>2024-04-07 20:24:00</v>
      </c>
    </row>
    <row r="438" spans="1:2" x14ac:dyDescent="0.2">
      <c r="A438" t="s">
        <v>490</v>
      </c>
      <c r="B438" s="8" t="str">
        <f t="shared" si="6"/>
        <v>2024-02-22 15:20:00</v>
      </c>
    </row>
    <row r="439" spans="1:2" x14ac:dyDescent="0.2">
      <c r="A439" t="s">
        <v>491</v>
      </c>
      <c r="B439" s="8" t="str">
        <f t="shared" si="6"/>
        <v>2024-05-05 09:00:00</v>
      </c>
    </row>
    <row r="440" spans="1:2" x14ac:dyDescent="0.2">
      <c r="A440" t="s">
        <v>492</v>
      </c>
      <c r="B440" s="8" t="str">
        <f t="shared" si="6"/>
        <v>2024-04-06 12:43:00</v>
      </c>
    </row>
    <row r="441" spans="1:2" x14ac:dyDescent="0.2">
      <c r="A441" t="s">
        <v>493</v>
      </c>
      <c r="B441" s="8" t="str">
        <f t="shared" si="6"/>
        <v>2024-03-28 21:00:00</v>
      </c>
    </row>
    <row r="442" spans="1:2" x14ac:dyDescent="0.2">
      <c r="A442" t="s">
        <v>494</v>
      </c>
      <c r="B442" s="8" t="str">
        <f t="shared" si="6"/>
        <v>2024-05-23 14:20:00</v>
      </c>
    </row>
    <row r="443" spans="1:2" x14ac:dyDescent="0.2">
      <c r="A443" t="s">
        <v>495</v>
      </c>
      <c r="B443" s="8" t="str">
        <f t="shared" si="6"/>
        <v>2024-02-13 18:36:00</v>
      </c>
    </row>
    <row r="444" spans="1:2" x14ac:dyDescent="0.2">
      <c r="A444" t="s">
        <v>496</v>
      </c>
      <c r="B444" s="8" t="str">
        <f t="shared" si="6"/>
        <v>2024-01-03 01:20:00</v>
      </c>
    </row>
    <row r="445" spans="1:2" x14ac:dyDescent="0.2">
      <c r="A445" t="s">
        <v>497</v>
      </c>
      <c r="B445" s="8" t="str">
        <f t="shared" si="6"/>
        <v>2024-04-03 05:04:00</v>
      </c>
    </row>
    <row r="446" spans="1:2" x14ac:dyDescent="0.2">
      <c r="A446" t="s">
        <v>498</v>
      </c>
      <c r="B446" s="8" t="str">
        <f t="shared" si="6"/>
        <v>2024-01-10 05:22:00</v>
      </c>
    </row>
    <row r="447" spans="1:2" x14ac:dyDescent="0.2">
      <c r="A447" t="s">
        <v>499</v>
      </c>
      <c r="B447" s="8" t="str">
        <f t="shared" si="6"/>
        <v>2024-04-16 14:27:00</v>
      </c>
    </row>
    <row r="448" spans="1:2" x14ac:dyDescent="0.2">
      <c r="A448" t="s">
        <v>500</v>
      </c>
      <c r="B448" s="8" t="str">
        <f t="shared" si="6"/>
        <v>2024-01-10 03:12:00</v>
      </c>
    </row>
    <row r="449" spans="1:2" x14ac:dyDescent="0.2">
      <c r="A449" t="s">
        <v>501</v>
      </c>
      <c r="B449" s="8" t="str">
        <f t="shared" si="6"/>
        <v>2024-01-09 02:19:00</v>
      </c>
    </row>
    <row r="450" spans="1:2" x14ac:dyDescent="0.2">
      <c r="A450" t="s">
        <v>502</v>
      </c>
      <c r="B450" s="8" t="str">
        <f t="shared" si="6"/>
        <v>2024-03-26 23:20:00</v>
      </c>
    </row>
    <row r="451" spans="1:2" x14ac:dyDescent="0.2">
      <c r="A451" t="s">
        <v>503</v>
      </c>
      <c r="B451" s="8" t="str">
        <f t="shared" ref="B451:C514" si="7">RIGHT(A451,19)</f>
        <v>2024-05-12 09:46:00</v>
      </c>
    </row>
    <row r="452" spans="1:2" x14ac:dyDescent="0.2">
      <c r="A452" t="s">
        <v>504</v>
      </c>
      <c r="B452" s="8" t="str">
        <f t="shared" si="7"/>
        <v>2024-01-01 20:26:00</v>
      </c>
    </row>
    <row r="453" spans="1:2" x14ac:dyDescent="0.2">
      <c r="A453" t="s">
        <v>505</v>
      </c>
      <c r="B453" s="8" t="str">
        <f t="shared" si="7"/>
        <v>2024-05-14 18:16:00</v>
      </c>
    </row>
    <row r="454" spans="1:2" x14ac:dyDescent="0.2">
      <c r="A454" t="s">
        <v>506</v>
      </c>
      <c r="B454" s="8" t="str">
        <f t="shared" si="7"/>
        <v>2024-05-18 16:15:00</v>
      </c>
    </row>
    <row r="455" spans="1:2" x14ac:dyDescent="0.2">
      <c r="A455" t="s">
        <v>507</v>
      </c>
      <c r="B455" s="8" t="str">
        <f t="shared" si="7"/>
        <v>2024-02-05 03:51:00</v>
      </c>
    </row>
    <row r="456" spans="1:2" x14ac:dyDescent="0.2">
      <c r="A456" t="s">
        <v>508</v>
      </c>
      <c r="B456" s="8" t="str">
        <f t="shared" si="7"/>
        <v>2024-05-28 13:50:00</v>
      </c>
    </row>
    <row r="457" spans="1:2" x14ac:dyDescent="0.2">
      <c r="A457" t="s">
        <v>509</v>
      </c>
      <c r="B457" s="8" t="str">
        <f t="shared" si="7"/>
        <v>2024-05-16 07:45:00</v>
      </c>
    </row>
    <row r="458" spans="1:2" x14ac:dyDescent="0.2">
      <c r="A458" t="s">
        <v>510</v>
      </c>
      <c r="B458" s="8" t="str">
        <f t="shared" si="7"/>
        <v>2024-03-12 16:44:00</v>
      </c>
    </row>
    <row r="459" spans="1:2" x14ac:dyDescent="0.2">
      <c r="A459" t="s">
        <v>511</v>
      </c>
      <c r="B459" s="8" t="str">
        <f t="shared" si="7"/>
        <v>2024-01-03 12:52:00</v>
      </c>
    </row>
    <row r="460" spans="1:2" x14ac:dyDescent="0.2">
      <c r="A460" t="s">
        <v>512</v>
      </c>
      <c r="B460" s="8" t="str">
        <f t="shared" si="7"/>
        <v>2024-02-14 11:41:00</v>
      </c>
    </row>
    <row r="461" spans="1:2" x14ac:dyDescent="0.2">
      <c r="A461" t="s">
        <v>513</v>
      </c>
      <c r="B461" s="8" t="str">
        <f t="shared" si="7"/>
        <v>2024-05-01 21:08:00</v>
      </c>
    </row>
    <row r="462" spans="1:2" x14ac:dyDescent="0.2">
      <c r="A462" t="s">
        <v>514</v>
      </c>
      <c r="B462" s="8" t="str">
        <f t="shared" si="7"/>
        <v>2024-03-04 12:25:00</v>
      </c>
    </row>
    <row r="463" spans="1:2" x14ac:dyDescent="0.2">
      <c r="A463" t="s">
        <v>515</v>
      </c>
      <c r="B463" s="8" t="str">
        <f t="shared" si="7"/>
        <v>2024-01-25 05:14:00</v>
      </c>
    </row>
    <row r="464" spans="1:2" x14ac:dyDescent="0.2">
      <c r="A464" t="s">
        <v>516</v>
      </c>
      <c r="B464" s="8" t="str">
        <f t="shared" si="7"/>
        <v>2024-02-14 02:51:00</v>
      </c>
    </row>
    <row r="465" spans="1:2" x14ac:dyDescent="0.2">
      <c r="A465" t="s">
        <v>517</v>
      </c>
      <c r="B465" s="8" t="str">
        <f t="shared" si="7"/>
        <v>2024-02-23 15:45:00</v>
      </c>
    </row>
    <row r="466" spans="1:2" x14ac:dyDescent="0.2">
      <c r="A466" t="s">
        <v>518</v>
      </c>
      <c r="B466" s="8" t="str">
        <f t="shared" si="7"/>
        <v>2024-02-25 23:35:00</v>
      </c>
    </row>
    <row r="467" spans="1:2" x14ac:dyDescent="0.2">
      <c r="A467" t="s">
        <v>519</v>
      </c>
      <c r="B467" s="8" t="str">
        <f t="shared" si="7"/>
        <v>2024-01-16 10:11:00</v>
      </c>
    </row>
    <row r="468" spans="1:2" x14ac:dyDescent="0.2">
      <c r="A468" t="s">
        <v>520</v>
      </c>
      <c r="B468" s="8" t="str">
        <f t="shared" si="7"/>
        <v>2024-03-12 12:42:00</v>
      </c>
    </row>
    <row r="469" spans="1:2" x14ac:dyDescent="0.2">
      <c r="A469" t="s">
        <v>521</v>
      </c>
      <c r="B469" s="8" t="str">
        <f t="shared" si="7"/>
        <v>2024-03-26 15:19:00</v>
      </c>
    </row>
    <row r="470" spans="1:2" x14ac:dyDescent="0.2">
      <c r="A470" t="s">
        <v>522</v>
      </c>
      <c r="B470" s="8" t="str">
        <f t="shared" si="7"/>
        <v>2024-02-17 08:58:00</v>
      </c>
    </row>
    <row r="471" spans="1:2" x14ac:dyDescent="0.2">
      <c r="A471" t="s">
        <v>523</v>
      </c>
      <c r="B471" s="8" t="str">
        <f t="shared" si="7"/>
        <v>2024-01-17 09:33:00</v>
      </c>
    </row>
    <row r="472" spans="1:2" x14ac:dyDescent="0.2">
      <c r="A472" t="s">
        <v>524</v>
      </c>
      <c r="B472" s="8" t="str">
        <f t="shared" si="7"/>
        <v>2024-02-20 22:04:00</v>
      </c>
    </row>
    <row r="473" spans="1:2" x14ac:dyDescent="0.2">
      <c r="A473" t="s">
        <v>525</v>
      </c>
      <c r="B473" s="8" t="str">
        <f t="shared" si="7"/>
        <v>2024-03-30 04:48:00</v>
      </c>
    </row>
    <row r="474" spans="1:2" x14ac:dyDescent="0.2">
      <c r="A474" t="s">
        <v>526</v>
      </c>
      <c r="B474" s="8" t="str">
        <f t="shared" si="7"/>
        <v>2024-02-28 14:55:00</v>
      </c>
    </row>
    <row r="475" spans="1:2" x14ac:dyDescent="0.2">
      <c r="A475" t="s">
        <v>527</v>
      </c>
      <c r="B475" s="8" t="str">
        <f t="shared" si="7"/>
        <v>2024-03-18 05:54:00</v>
      </c>
    </row>
    <row r="476" spans="1:2" x14ac:dyDescent="0.2">
      <c r="A476" t="s">
        <v>528</v>
      </c>
      <c r="B476" s="8" t="str">
        <f t="shared" si="7"/>
        <v>2024-04-05 13:45:00</v>
      </c>
    </row>
    <row r="477" spans="1:2" x14ac:dyDescent="0.2">
      <c r="A477" t="s">
        <v>529</v>
      </c>
      <c r="B477" s="8" t="str">
        <f t="shared" si="7"/>
        <v>2024-02-05 19:43:00</v>
      </c>
    </row>
    <row r="478" spans="1:2" x14ac:dyDescent="0.2">
      <c r="A478" t="s">
        <v>530</v>
      </c>
      <c r="B478" s="8" t="str">
        <f t="shared" si="7"/>
        <v>2024-03-06 13:20:00</v>
      </c>
    </row>
    <row r="479" spans="1:2" x14ac:dyDescent="0.2">
      <c r="A479" t="s">
        <v>531</v>
      </c>
      <c r="B479" s="8" t="str">
        <f t="shared" si="7"/>
        <v>2024-02-28 22:27:00</v>
      </c>
    </row>
    <row r="480" spans="1:2" x14ac:dyDescent="0.2">
      <c r="A480" t="s">
        <v>532</v>
      </c>
      <c r="B480" s="8" t="str">
        <f t="shared" si="7"/>
        <v>2024-02-19 03:13:00</v>
      </c>
    </row>
    <row r="481" spans="1:2" x14ac:dyDescent="0.2">
      <c r="A481" t="s">
        <v>533</v>
      </c>
      <c r="B481" s="8" t="str">
        <f t="shared" si="7"/>
        <v>2024-03-27 16:32:00</v>
      </c>
    </row>
    <row r="482" spans="1:2" x14ac:dyDescent="0.2">
      <c r="A482" t="s">
        <v>534</v>
      </c>
      <c r="B482" s="8" t="str">
        <f t="shared" si="7"/>
        <v>2024-01-29 11:14:00</v>
      </c>
    </row>
    <row r="483" spans="1:2" x14ac:dyDescent="0.2">
      <c r="A483" t="s">
        <v>535</v>
      </c>
      <c r="B483" s="8" t="str">
        <f t="shared" si="7"/>
        <v>2024-04-05 06:19:00</v>
      </c>
    </row>
    <row r="484" spans="1:2" x14ac:dyDescent="0.2">
      <c r="A484" t="s">
        <v>536</v>
      </c>
      <c r="B484" s="8" t="str">
        <f t="shared" si="7"/>
        <v>2024-01-05 23:02:00</v>
      </c>
    </row>
    <row r="485" spans="1:2" x14ac:dyDescent="0.2">
      <c r="A485" t="s">
        <v>537</v>
      </c>
      <c r="B485" s="8" t="str">
        <f t="shared" si="7"/>
        <v>2024-05-11 01:18:00</v>
      </c>
    </row>
    <row r="486" spans="1:2" x14ac:dyDescent="0.2">
      <c r="A486" t="s">
        <v>538</v>
      </c>
      <c r="B486" s="8" t="str">
        <f t="shared" si="7"/>
        <v>2024-03-03 06:12:00</v>
      </c>
    </row>
    <row r="487" spans="1:2" x14ac:dyDescent="0.2">
      <c r="A487" t="s">
        <v>539</v>
      </c>
      <c r="B487" s="8" t="str">
        <f t="shared" si="7"/>
        <v>2024-02-01 08:44:00</v>
      </c>
    </row>
    <row r="488" spans="1:2" x14ac:dyDescent="0.2">
      <c r="A488" t="s">
        <v>540</v>
      </c>
      <c r="B488" s="8" t="str">
        <f t="shared" si="7"/>
        <v>2024-04-02 02:16:00</v>
      </c>
    </row>
    <row r="489" spans="1:2" x14ac:dyDescent="0.2">
      <c r="A489" t="s">
        <v>541</v>
      </c>
      <c r="B489" s="8" t="str">
        <f t="shared" si="7"/>
        <v>2024-03-28 22:21:00</v>
      </c>
    </row>
    <row r="490" spans="1:2" x14ac:dyDescent="0.2">
      <c r="A490" t="s">
        <v>542</v>
      </c>
      <c r="B490" s="8" t="str">
        <f t="shared" si="7"/>
        <v>2024-03-29 07:25:00</v>
      </c>
    </row>
    <row r="491" spans="1:2" x14ac:dyDescent="0.2">
      <c r="A491" t="s">
        <v>543</v>
      </c>
      <c r="B491" s="8" t="str">
        <f t="shared" si="7"/>
        <v>2024-05-23 15:56:00</v>
      </c>
    </row>
    <row r="492" spans="1:2" x14ac:dyDescent="0.2">
      <c r="A492" t="s">
        <v>544</v>
      </c>
      <c r="B492" s="8" t="str">
        <f t="shared" si="7"/>
        <v>2024-04-29 10:39:00</v>
      </c>
    </row>
    <row r="493" spans="1:2" x14ac:dyDescent="0.2">
      <c r="A493" t="s">
        <v>545</v>
      </c>
      <c r="B493" s="8" t="str">
        <f t="shared" si="7"/>
        <v>2024-02-14 21:36:00</v>
      </c>
    </row>
    <row r="494" spans="1:2" x14ac:dyDescent="0.2">
      <c r="A494" t="s">
        <v>546</v>
      </c>
      <c r="B494" s="8" t="str">
        <f t="shared" si="7"/>
        <v>2024-02-21 07:16:00</v>
      </c>
    </row>
    <row r="495" spans="1:2" x14ac:dyDescent="0.2">
      <c r="A495" t="s">
        <v>547</v>
      </c>
      <c r="B495" s="8" t="str">
        <f t="shared" si="7"/>
        <v>2024-04-01 11:48:00</v>
      </c>
    </row>
    <row r="496" spans="1:2" x14ac:dyDescent="0.2">
      <c r="A496" t="s">
        <v>548</v>
      </c>
      <c r="B496" s="8" t="str">
        <f t="shared" si="7"/>
        <v>2024-04-19 18:44:00</v>
      </c>
    </row>
    <row r="497" spans="1:2" x14ac:dyDescent="0.2">
      <c r="A497" t="s">
        <v>549</v>
      </c>
      <c r="B497" s="8" t="str">
        <f t="shared" si="7"/>
        <v>2024-01-16 03:57:00</v>
      </c>
    </row>
    <row r="498" spans="1:2" x14ac:dyDescent="0.2">
      <c r="A498" t="s">
        <v>550</v>
      </c>
      <c r="B498" s="8" t="str">
        <f t="shared" si="7"/>
        <v>2024-02-19 14:36:00</v>
      </c>
    </row>
    <row r="499" spans="1:2" x14ac:dyDescent="0.2">
      <c r="A499" t="s">
        <v>551</v>
      </c>
      <c r="B499" s="8" t="str">
        <f t="shared" si="7"/>
        <v>2024-04-08 21:06:00</v>
      </c>
    </row>
    <row r="500" spans="1:2" x14ac:dyDescent="0.2">
      <c r="A500" t="s">
        <v>552</v>
      </c>
      <c r="B500" s="8" t="str">
        <f t="shared" si="7"/>
        <v>2024-05-24 12:32:00</v>
      </c>
    </row>
    <row r="501" spans="1:2" x14ac:dyDescent="0.2">
      <c r="A501" t="s">
        <v>553</v>
      </c>
      <c r="B501" s="8" t="str">
        <f t="shared" si="7"/>
        <v>2024-03-18 03:06:00</v>
      </c>
    </row>
    <row r="502" spans="1:2" x14ac:dyDescent="0.2">
      <c r="A502" t="s">
        <v>554</v>
      </c>
      <c r="B502" s="8" t="str">
        <f t="shared" si="7"/>
        <v>2024-05-19 16:02:00</v>
      </c>
    </row>
    <row r="503" spans="1:2" x14ac:dyDescent="0.2">
      <c r="A503" t="s">
        <v>555</v>
      </c>
      <c r="B503" s="8" t="str">
        <f t="shared" si="7"/>
        <v>2024-02-14 01:42:00</v>
      </c>
    </row>
    <row r="504" spans="1:2" x14ac:dyDescent="0.2">
      <c r="A504" t="s">
        <v>556</v>
      </c>
      <c r="B504" s="8" t="str">
        <f t="shared" si="7"/>
        <v>2024-02-17 11:57:00</v>
      </c>
    </row>
    <row r="505" spans="1:2" x14ac:dyDescent="0.2">
      <c r="A505" t="s">
        <v>557</v>
      </c>
      <c r="B505" s="8" t="str">
        <f t="shared" si="7"/>
        <v>2024-01-05 22:26:00</v>
      </c>
    </row>
    <row r="506" spans="1:2" x14ac:dyDescent="0.2">
      <c r="A506" t="s">
        <v>558</v>
      </c>
      <c r="B506" s="8" t="str">
        <f t="shared" si="7"/>
        <v>2024-03-31 12:42:00</v>
      </c>
    </row>
    <row r="507" spans="1:2" x14ac:dyDescent="0.2">
      <c r="A507" t="s">
        <v>559</v>
      </c>
      <c r="B507" s="8" t="str">
        <f t="shared" si="7"/>
        <v>2024-04-29 10:01:00</v>
      </c>
    </row>
    <row r="508" spans="1:2" x14ac:dyDescent="0.2">
      <c r="A508" t="s">
        <v>560</v>
      </c>
      <c r="B508" s="8" t="str">
        <f t="shared" si="7"/>
        <v>2024-02-26 14:12:00</v>
      </c>
    </row>
    <row r="509" spans="1:2" x14ac:dyDescent="0.2">
      <c r="A509" t="s">
        <v>561</v>
      </c>
      <c r="B509" s="8" t="str">
        <f t="shared" si="7"/>
        <v>2024-02-15 00:39:00</v>
      </c>
    </row>
    <row r="510" spans="1:2" x14ac:dyDescent="0.2">
      <c r="A510" t="s">
        <v>562</v>
      </c>
      <c r="B510" s="8" t="str">
        <f t="shared" si="7"/>
        <v>2024-05-10 05:12:00</v>
      </c>
    </row>
    <row r="511" spans="1:2" x14ac:dyDescent="0.2">
      <c r="A511" t="s">
        <v>563</v>
      </c>
      <c r="B511" s="8" t="str">
        <f t="shared" si="7"/>
        <v>2024-01-16 19:51:00</v>
      </c>
    </row>
    <row r="512" spans="1:2" x14ac:dyDescent="0.2">
      <c r="A512" t="s">
        <v>564</v>
      </c>
      <c r="B512" s="8" t="str">
        <f t="shared" si="7"/>
        <v>2024-05-23 23:33:00</v>
      </c>
    </row>
    <row r="513" spans="1:2" x14ac:dyDescent="0.2">
      <c r="A513" t="s">
        <v>565</v>
      </c>
      <c r="B513" s="8" t="str">
        <f t="shared" si="7"/>
        <v>2024-02-06 11:07:00</v>
      </c>
    </row>
    <row r="514" spans="1:2" x14ac:dyDescent="0.2">
      <c r="A514" t="s">
        <v>566</v>
      </c>
      <c r="B514" s="8" t="str">
        <f t="shared" si="7"/>
        <v>2024-03-15 15:22:00</v>
      </c>
    </row>
    <row r="515" spans="1:2" x14ac:dyDescent="0.2">
      <c r="A515" t="s">
        <v>567</v>
      </c>
      <c r="B515" s="8" t="str">
        <f t="shared" ref="B515:C578" si="8">RIGHT(A515,19)</f>
        <v>2024-03-04 18:53:00</v>
      </c>
    </row>
    <row r="516" spans="1:2" x14ac:dyDescent="0.2">
      <c r="A516" t="s">
        <v>568</v>
      </c>
      <c r="B516" s="8" t="str">
        <f t="shared" si="8"/>
        <v>2024-05-20 19:33:00</v>
      </c>
    </row>
    <row r="517" spans="1:2" x14ac:dyDescent="0.2">
      <c r="A517" t="s">
        <v>569</v>
      </c>
      <c r="B517" s="8" t="str">
        <f t="shared" si="8"/>
        <v>2024-02-22 21:51:00</v>
      </c>
    </row>
    <row r="518" spans="1:2" x14ac:dyDescent="0.2">
      <c r="A518" t="s">
        <v>570</v>
      </c>
      <c r="B518" s="8" t="str">
        <f t="shared" si="8"/>
        <v>2024-01-13 09:41:00</v>
      </c>
    </row>
    <row r="519" spans="1:2" x14ac:dyDescent="0.2">
      <c r="A519" t="s">
        <v>571</v>
      </c>
      <c r="B519" s="8" t="str">
        <f t="shared" si="8"/>
        <v>2024-03-14 18:20:00</v>
      </c>
    </row>
    <row r="520" spans="1:2" x14ac:dyDescent="0.2">
      <c r="A520" t="s">
        <v>572</v>
      </c>
      <c r="B520" s="8" t="str">
        <f t="shared" si="8"/>
        <v>2024-03-13 07:06:00</v>
      </c>
    </row>
    <row r="521" spans="1:2" x14ac:dyDescent="0.2">
      <c r="A521" t="s">
        <v>573</v>
      </c>
      <c r="B521" s="8" t="str">
        <f t="shared" si="8"/>
        <v>2024-03-05 13:56:00</v>
      </c>
    </row>
    <row r="522" spans="1:2" x14ac:dyDescent="0.2">
      <c r="A522" t="s">
        <v>574</v>
      </c>
      <c r="B522" s="8" t="str">
        <f t="shared" si="8"/>
        <v>2024-01-05 01:52:00</v>
      </c>
    </row>
    <row r="523" spans="1:2" x14ac:dyDescent="0.2">
      <c r="A523" t="s">
        <v>575</v>
      </c>
      <c r="B523" s="8" t="str">
        <f t="shared" si="8"/>
        <v>2024-05-05 20:29:00</v>
      </c>
    </row>
    <row r="524" spans="1:2" x14ac:dyDescent="0.2">
      <c r="A524" t="s">
        <v>576</v>
      </c>
      <c r="B524" s="8" t="str">
        <f t="shared" si="8"/>
        <v>2024-05-19 00:56:00</v>
      </c>
    </row>
    <row r="525" spans="1:2" x14ac:dyDescent="0.2">
      <c r="A525" t="s">
        <v>577</v>
      </c>
      <c r="B525" s="8" t="str">
        <f t="shared" si="8"/>
        <v>2024-01-22 16:46:00</v>
      </c>
    </row>
    <row r="526" spans="1:2" x14ac:dyDescent="0.2">
      <c r="A526" t="s">
        <v>578</v>
      </c>
      <c r="B526" s="8" t="str">
        <f t="shared" si="8"/>
        <v>2024-05-24 07:17:00</v>
      </c>
    </row>
    <row r="527" spans="1:2" x14ac:dyDescent="0.2">
      <c r="A527" t="s">
        <v>579</v>
      </c>
      <c r="B527" s="8" t="str">
        <f t="shared" si="8"/>
        <v>2024-02-20 13:08:00</v>
      </c>
    </row>
    <row r="528" spans="1:2" x14ac:dyDescent="0.2">
      <c r="A528" t="s">
        <v>580</v>
      </c>
      <c r="B528" s="8" t="str">
        <f t="shared" si="8"/>
        <v>2024-04-08 11:45:00</v>
      </c>
    </row>
    <row r="529" spans="1:2" x14ac:dyDescent="0.2">
      <c r="A529" t="s">
        <v>581</v>
      </c>
      <c r="B529" s="8" t="str">
        <f t="shared" si="8"/>
        <v>2024-02-21 23:40:00</v>
      </c>
    </row>
    <row r="530" spans="1:2" x14ac:dyDescent="0.2">
      <c r="A530" t="s">
        <v>582</v>
      </c>
      <c r="B530" s="8" t="str">
        <f t="shared" si="8"/>
        <v>2024-01-22 08:13:00</v>
      </c>
    </row>
    <row r="531" spans="1:2" x14ac:dyDescent="0.2">
      <c r="A531" t="s">
        <v>583</v>
      </c>
      <c r="B531" s="8" t="str">
        <f t="shared" si="8"/>
        <v>2024-02-12 19:50:00</v>
      </c>
    </row>
    <row r="532" spans="1:2" x14ac:dyDescent="0.2">
      <c r="A532" t="s">
        <v>584</v>
      </c>
      <c r="B532" s="8" t="str">
        <f t="shared" si="8"/>
        <v>2024-02-04 16:39:00</v>
      </c>
    </row>
    <row r="533" spans="1:2" x14ac:dyDescent="0.2">
      <c r="A533" t="s">
        <v>585</v>
      </c>
      <c r="B533" s="8" t="str">
        <f t="shared" si="8"/>
        <v>2024-03-20 08:02:00</v>
      </c>
    </row>
    <row r="534" spans="1:2" x14ac:dyDescent="0.2">
      <c r="A534" t="s">
        <v>586</v>
      </c>
      <c r="B534" s="8" t="str">
        <f t="shared" si="8"/>
        <v>2024-03-04 20:17:00</v>
      </c>
    </row>
    <row r="535" spans="1:2" x14ac:dyDescent="0.2">
      <c r="A535" t="s">
        <v>587</v>
      </c>
      <c r="B535" s="8" t="str">
        <f t="shared" si="8"/>
        <v>2024-03-11 12:58:00</v>
      </c>
    </row>
    <row r="536" spans="1:2" x14ac:dyDescent="0.2">
      <c r="A536" t="s">
        <v>588</v>
      </c>
      <c r="B536" s="8" t="str">
        <f t="shared" si="8"/>
        <v>2024-03-10 12:59:00</v>
      </c>
    </row>
    <row r="537" spans="1:2" x14ac:dyDescent="0.2">
      <c r="A537" t="s">
        <v>589</v>
      </c>
      <c r="B537" s="8" t="str">
        <f t="shared" si="8"/>
        <v>2024-01-10 12:52:00</v>
      </c>
    </row>
    <row r="538" spans="1:2" x14ac:dyDescent="0.2">
      <c r="A538" t="s">
        <v>590</v>
      </c>
      <c r="B538" s="8" t="str">
        <f t="shared" si="8"/>
        <v>2024-02-05 05:49:00</v>
      </c>
    </row>
    <row r="539" spans="1:2" x14ac:dyDescent="0.2">
      <c r="A539" t="s">
        <v>591</v>
      </c>
      <c r="B539" s="8" t="str">
        <f t="shared" si="8"/>
        <v>2024-02-21 04:08:00</v>
      </c>
    </row>
    <row r="540" spans="1:2" x14ac:dyDescent="0.2">
      <c r="A540" t="s">
        <v>592</v>
      </c>
      <c r="B540" s="8" t="str">
        <f t="shared" si="8"/>
        <v>2024-04-28 20:30:00</v>
      </c>
    </row>
    <row r="541" spans="1:2" x14ac:dyDescent="0.2">
      <c r="A541" t="s">
        <v>593</v>
      </c>
      <c r="B541" s="8" t="str">
        <f t="shared" si="8"/>
        <v>2024-02-29 22:56:00</v>
      </c>
    </row>
    <row r="542" spans="1:2" x14ac:dyDescent="0.2">
      <c r="A542" t="s">
        <v>594</v>
      </c>
      <c r="B542" s="8" t="str">
        <f t="shared" si="8"/>
        <v>2024-02-22 20:51:00</v>
      </c>
    </row>
    <row r="543" spans="1:2" x14ac:dyDescent="0.2">
      <c r="A543" t="s">
        <v>595</v>
      </c>
      <c r="B543" s="8" t="str">
        <f t="shared" si="8"/>
        <v>2024-01-07 02:14:00</v>
      </c>
    </row>
    <row r="544" spans="1:2" x14ac:dyDescent="0.2">
      <c r="A544" t="s">
        <v>596</v>
      </c>
      <c r="B544" s="8" t="str">
        <f t="shared" si="8"/>
        <v>2024-03-20 21:55:00</v>
      </c>
    </row>
    <row r="545" spans="1:2" x14ac:dyDescent="0.2">
      <c r="A545" t="s">
        <v>597</v>
      </c>
      <c r="B545" s="8" t="str">
        <f t="shared" si="8"/>
        <v>2024-03-21 15:24:00</v>
      </c>
    </row>
    <row r="546" spans="1:2" x14ac:dyDescent="0.2">
      <c r="A546" t="s">
        <v>598</v>
      </c>
      <c r="B546" s="8" t="str">
        <f t="shared" si="8"/>
        <v>2024-02-19 17:36:00</v>
      </c>
    </row>
    <row r="547" spans="1:2" x14ac:dyDescent="0.2">
      <c r="A547" t="s">
        <v>599</v>
      </c>
      <c r="B547" s="8" t="str">
        <f t="shared" si="8"/>
        <v>2024-03-19 01:34:00</v>
      </c>
    </row>
    <row r="548" spans="1:2" x14ac:dyDescent="0.2">
      <c r="A548" t="s">
        <v>600</v>
      </c>
      <c r="B548" s="8" t="str">
        <f t="shared" si="8"/>
        <v>2024-02-17 20:05:00</v>
      </c>
    </row>
    <row r="549" spans="1:2" x14ac:dyDescent="0.2">
      <c r="A549" t="s">
        <v>601</v>
      </c>
      <c r="B549" s="8" t="str">
        <f t="shared" si="8"/>
        <v>2024-02-29 12:54:00</v>
      </c>
    </row>
    <row r="550" spans="1:2" x14ac:dyDescent="0.2">
      <c r="A550" t="s">
        <v>602</v>
      </c>
      <c r="B550" s="8" t="str">
        <f t="shared" si="8"/>
        <v>2024-05-09 23:20:00</v>
      </c>
    </row>
    <row r="551" spans="1:2" x14ac:dyDescent="0.2">
      <c r="A551" t="s">
        <v>603</v>
      </c>
      <c r="B551" s="8" t="str">
        <f t="shared" si="8"/>
        <v>2024-05-09 14:56:00</v>
      </c>
    </row>
    <row r="552" spans="1:2" x14ac:dyDescent="0.2">
      <c r="A552" t="s">
        <v>604</v>
      </c>
      <c r="B552" s="8" t="str">
        <f t="shared" si="8"/>
        <v>2024-02-12 01:33:00</v>
      </c>
    </row>
    <row r="553" spans="1:2" x14ac:dyDescent="0.2">
      <c r="A553" t="s">
        <v>605</v>
      </c>
      <c r="B553" s="8" t="str">
        <f t="shared" si="8"/>
        <v>2024-01-05 08:47:00</v>
      </c>
    </row>
    <row r="554" spans="1:2" x14ac:dyDescent="0.2">
      <c r="A554" t="s">
        <v>606</v>
      </c>
      <c r="B554" s="8" t="str">
        <f t="shared" si="8"/>
        <v>2024-04-11 19:38:00</v>
      </c>
    </row>
    <row r="555" spans="1:2" x14ac:dyDescent="0.2">
      <c r="A555" t="s">
        <v>607</v>
      </c>
      <c r="B555" s="8" t="str">
        <f t="shared" si="8"/>
        <v>2024-04-20 02:52:00</v>
      </c>
    </row>
    <row r="556" spans="1:2" x14ac:dyDescent="0.2">
      <c r="A556" t="s">
        <v>608</v>
      </c>
      <c r="B556" s="8" t="str">
        <f t="shared" si="8"/>
        <v>2024-03-14 23:56:00</v>
      </c>
    </row>
    <row r="557" spans="1:2" x14ac:dyDescent="0.2">
      <c r="A557" t="s">
        <v>609</v>
      </c>
      <c r="B557" s="8" t="str">
        <f t="shared" si="8"/>
        <v>2024-02-26 03:11:00</v>
      </c>
    </row>
    <row r="558" spans="1:2" x14ac:dyDescent="0.2">
      <c r="A558" t="s">
        <v>610</v>
      </c>
      <c r="B558" s="8" t="str">
        <f t="shared" si="8"/>
        <v>2024-02-29 05:46:00</v>
      </c>
    </row>
    <row r="559" spans="1:2" x14ac:dyDescent="0.2">
      <c r="A559" t="s">
        <v>611</v>
      </c>
      <c r="B559" s="8" t="str">
        <f t="shared" si="8"/>
        <v>2024-04-23 13:28:00</v>
      </c>
    </row>
    <row r="560" spans="1:2" x14ac:dyDescent="0.2">
      <c r="A560" t="s">
        <v>612</v>
      </c>
      <c r="B560" s="8" t="str">
        <f t="shared" si="8"/>
        <v>2024-01-30 01:45:00</v>
      </c>
    </row>
    <row r="561" spans="1:2" x14ac:dyDescent="0.2">
      <c r="A561" t="s">
        <v>613</v>
      </c>
      <c r="B561" s="8" t="str">
        <f t="shared" si="8"/>
        <v>2024-04-16 14:12:00</v>
      </c>
    </row>
    <row r="562" spans="1:2" x14ac:dyDescent="0.2">
      <c r="A562" t="s">
        <v>614</v>
      </c>
      <c r="B562" s="8" t="str">
        <f t="shared" si="8"/>
        <v>2024-04-19 10:15:00</v>
      </c>
    </row>
    <row r="563" spans="1:2" x14ac:dyDescent="0.2">
      <c r="A563" t="s">
        <v>615</v>
      </c>
      <c r="B563" s="8" t="str">
        <f t="shared" si="8"/>
        <v>2024-05-16 23:24:00</v>
      </c>
    </row>
    <row r="564" spans="1:2" x14ac:dyDescent="0.2">
      <c r="A564" t="s">
        <v>616</v>
      </c>
      <c r="B564" s="8" t="str">
        <f t="shared" si="8"/>
        <v>2024-03-06 15:16:00</v>
      </c>
    </row>
    <row r="565" spans="1:2" x14ac:dyDescent="0.2">
      <c r="A565" t="s">
        <v>617</v>
      </c>
      <c r="B565" s="8" t="str">
        <f t="shared" si="8"/>
        <v>2024-04-15 17:29:00</v>
      </c>
    </row>
    <row r="566" spans="1:2" x14ac:dyDescent="0.2">
      <c r="A566" t="s">
        <v>618</v>
      </c>
      <c r="B566" s="8" t="str">
        <f t="shared" si="8"/>
        <v>2024-04-10 17:16:00</v>
      </c>
    </row>
    <row r="567" spans="1:2" x14ac:dyDescent="0.2">
      <c r="A567" t="s">
        <v>619</v>
      </c>
      <c r="B567" s="8" t="str">
        <f t="shared" si="8"/>
        <v>2024-05-20 01:58:00</v>
      </c>
    </row>
    <row r="568" spans="1:2" x14ac:dyDescent="0.2">
      <c r="A568" t="s">
        <v>620</v>
      </c>
      <c r="B568" s="8" t="str">
        <f t="shared" si="8"/>
        <v>2024-05-09 20:31:00</v>
      </c>
    </row>
    <row r="569" spans="1:2" x14ac:dyDescent="0.2">
      <c r="A569" t="s">
        <v>621</v>
      </c>
      <c r="B569" s="8" t="str">
        <f t="shared" si="8"/>
        <v>2024-02-29 08:19:00</v>
      </c>
    </row>
    <row r="570" spans="1:2" x14ac:dyDescent="0.2">
      <c r="A570" t="s">
        <v>622</v>
      </c>
      <c r="B570" s="8" t="str">
        <f t="shared" si="8"/>
        <v>2024-05-24 06:07:00</v>
      </c>
    </row>
    <row r="571" spans="1:2" x14ac:dyDescent="0.2">
      <c r="A571" t="s">
        <v>623</v>
      </c>
      <c r="B571" s="8" t="str">
        <f t="shared" si="8"/>
        <v>2024-04-27 14:25:00</v>
      </c>
    </row>
    <row r="572" spans="1:2" x14ac:dyDescent="0.2">
      <c r="A572" t="s">
        <v>624</v>
      </c>
      <c r="B572" s="8" t="str">
        <f t="shared" si="8"/>
        <v>2024-02-19 04:23:00</v>
      </c>
    </row>
    <row r="573" spans="1:2" x14ac:dyDescent="0.2">
      <c r="A573" t="s">
        <v>625</v>
      </c>
      <c r="B573" s="8" t="str">
        <f t="shared" si="8"/>
        <v>2024-03-22 02:47:00</v>
      </c>
    </row>
    <row r="574" spans="1:2" x14ac:dyDescent="0.2">
      <c r="A574" t="s">
        <v>626</v>
      </c>
      <c r="B574" s="8" t="str">
        <f t="shared" si="8"/>
        <v>2024-02-24 13:45:00</v>
      </c>
    </row>
    <row r="575" spans="1:2" x14ac:dyDescent="0.2">
      <c r="A575" t="s">
        <v>627</v>
      </c>
      <c r="B575" s="8" t="str">
        <f t="shared" si="8"/>
        <v>2024-01-06 18:18:00</v>
      </c>
    </row>
    <row r="576" spans="1:2" x14ac:dyDescent="0.2">
      <c r="A576" t="s">
        <v>628</v>
      </c>
      <c r="B576" s="8" t="str">
        <f t="shared" si="8"/>
        <v>2024-04-05 03:54:00</v>
      </c>
    </row>
    <row r="577" spans="1:2" x14ac:dyDescent="0.2">
      <c r="A577" t="s">
        <v>629</v>
      </c>
      <c r="B577" s="8" t="str">
        <f t="shared" si="8"/>
        <v>2024-04-03 06:04:00</v>
      </c>
    </row>
    <row r="578" spans="1:2" x14ac:dyDescent="0.2">
      <c r="A578" t="s">
        <v>630</v>
      </c>
      <c r="B578" s="8" t="str">
        <f t="shared" si="8"/>
        <v>2024-04-27 07:34:00</v>
      </c>
    </row>
    <row r="579" spans="1:2" x14ac:dyDescent="0.2">
      <c r="A579" t="s">
        <v>631</v>
      </c>
      <c r="B579" s="8" t="str">
        <f t="shared" ref="B579:C642" si="9">RIGHT(A579,19)</f>
        <v>2024-05-16 09:18:00</v>
      </c>
    </row>
    <row r="580" spans="1:2" x14ac:dyDescent="0.2">
      <c r="A580" t="s">
        <v>632</v>
      </c>
      <c r="B580" s="8" t="str">
        <f t="shared" si="9"/>
        <v>2024-01-14 18:06:00</v>
      </c>
    </row>
    <row r="581" spans="1:2" x14ac:dyDescent="0.2">
      <c r="A581" t="s">
        <v>633</v>
      </c>
      <c r="B581" s="8" t="str">
        <f t="shared" si="9"/>
        <v>2024-04-02 21:11:00</v>
      </c>
    </row>
    <row r="582" spans="1:2" x14ac:dyDescent="0.2">
      <c r="A582" t="s">
        <v>634</v>
      </c>
      <c r="B582" s="8" t="str">
        <f t="shared" si="9"/>
        <v>2024-01-31 06:46:00</v>
      </c>
    </row>
    <row r="583" spans="1:2" x14ac:dyDescent="0.2">
      <c r="A583" t="s">
        <v>635</v>
      </c>
      <c r="B583" s="8" t="str">
        <f t="shared" si="9"/>
        <v>2024-04-05 16:00:00</v>
      </c>
    </row>
    <row r="584" spans="1:2" x14ac:dyDescent="0.2">
      <c r="A584" t="s">
        <v>636</v>
      </c>
      <c r="B584" s="8" t="str">
        <f t="shared" si="9"/>
        <v>2024-01-12 22:52:00</v>
      </c>
    </row>
    <row r="585" spans="1:2" x14ac:dyDescent="0.2">
      <c r="A585" t="s">
        <v>637</v>
      </c>
      <c r="B585" s="8" t="str">
        <f t="shared" si="9"/>
        <v>2024-04-08 12:30:00</v>
      </c>
    </row>
    <row r="586" spans="1:2" x14ac:dyDescent="0.2">
      <c r="A586" t="s">
        <v>638</v>
      </c>
      <c r="B586" s="8" t="str">
        <f t="shared" si="9"/>
        <v>2024-01-25 17:23:00</v>
      </c>
    </row>
    <row r="587" spans="1:2" x14ac:dyDescent="0.2">
      <c r="A587" t="s">
        <v>639</v>
      </c>
      <c r="B587" s="8" t="str">
        <f t="shared" si="9"/>
        <v>2024-05-03 20:18:00</v>
      </c>
    </row>
    <row r="588" spans="1:2" x14ac:dyDescent="0.2">
      <c r="A588" t="s">
        <v>640</v>
      </c>
      <c r="B588" s="8" t="str">
        <f t="shared" si="9"/>
        <v>2024-04-14 09:10:00</v>
      </c>
    </row>
    <row r="589" spans="1:2" x14ac:dyDescent="0.2">
      <c r="A589" t="s">
        <v>641</v>
      </c>
      <c r="B589" s="8" t="str">
        <f t="shared" si="9"/>
        <v>2024-01-10 03:20:00</v>
      </c>
    </row>
    <row r="590" spans="1:2" x14ac:dyDescent="0.2">
      <c r="A590" t="s">
        <v>642</v>
      </c>
      <c r="B590" s="8" t="str">
        <f t="shared" si="9"/>
        <v>2024-04-10 15:34:00</v>
      </c>
    </row>
    <row r="591" spans="1:2" x14ac:dyDescent="0.2">
      <c r="A591" t="s">
        <v>643</v>
      </c>
      <c r="B591" s="8" t="str">
        <f t="shared" si="9"/>
        <v>2024-02-29 14:38:00</v>
      </c>
    </row>
    <row r="592" spans="1:2" x14ac:dyDescent="0.2">
      <c r="A592" t="s">
        <v>644</v>
      </c>
      <c r="B592" s="8" t="str">
        <f t="shared" si="9"/>
        <v>2024-03-31 04:38:00</v>
      </c>
    </row>
    <row r="593" spans="1:2" x14ac:dyDescent="0.2">
      <c r="A593" t="s">
        <v>645</v>
      </c>
      <c r="B593" s="8" t="str">
        <f t="shared" si="9"/>
        <v>2024-01-18 04:45:00</v>
      </c>
    </row>
    <row r="594" spans="1:2" x14ac:dyDescent="0.2">
      <c r="A594" t="s">
        <v>646</v>
      </c>
      <c r="B594" s="8" t="str">
        <f t="shared" si="9"/>
        <v>2024-04-03 22:11:00</v>
      </c>
    </row>
    <row r="595" spans="1:2" x14ac:dyDescent="0.2">
      <c r="A595" t="s">
        <v>647</v>
      </c>
      <c r="B595" s="8" t="str">
        <f t="shared" si="9"/>
        <v>2024-03-13 04:54:00</v>
      </c>
    </row>
    <row r="596" spans="1:2" x14ac:dyDescent="0.2">
      <c r="A596" t="s">
        <v>648</v>
      </c>
      <c r="B596" s="8" t="str">
        <f t="shared" si="9"/>
        <v>2024-05-09 07:52:00</v>
      </c>
    </row>
    <row r="597" spans="1:2" x14ac:dyDescent="0.2">
      <c r="A597" t="s">
        <v>649</v>
      </c>
      <c r="B597" s="8" t="str">
        <f t="shared" si="9"/>
        <v>2024-02-27 15:32:00</v>
      </c>
    </row>
    <row r="598" spans="1:2" x14ac:dyDescent="0.2">
      <c r="A598" t="s">
        <v>650</v>
      </c>
      <c r="B598" s="8" t="str">
        <f t="shared" si="9"/>
        <v>2024-03-24 17:21:00</v>
      </c>
    </row>
    <row r="599" spans="1:2" x14ac:dyDescent="0.2">
      <c r="A599" t="s">
        <v>651</v>
      </c>
      <c r="B599" s="8" t="str">
        <f t="shared" si="9"/>
        <v>2024-01-25 07:00:00</v>
      </c>
    </row>
    <row r="600" spans="1:2" x14ac:dyDescent="0.2">
      <c r="A600" t="s">
        <v>652</v>
      </c>
      <c r="B600" s="8" t="str">
        <f t="shared" si="9"/>
        <v>2024-01-25 00:00:00</v>
      </c>
    </row>
    <row r="601" spans="1:2" x14ac:dyDescent="0.2">
      <c r="A601" t="s">
        <v>653</v>
      </c>
      <c r="B601" s="8" t="str">
        <f t="shared" si="9"/>
        <v>2024-03-30 07:02:00</v>
      </c>
    </row>
    <row r="602" spans="1:2" x14ac:dyDescent="0.2">
      <c r="A602" t="s">
        <v>654</v>
      </c>
      <c r="B602" s="8" t="str">
        <f t="shared" si="9"/>
        <v>2024-04-11 19:21:00</v>
      </c>
    </row>
    <row r="603" spans="1:2" x14ac:dyDescent="0.2">
      <c r="A603" t="s">
        <v>655</v>
      </c>
      <c r="B603" s="8" t="str">
        <f t="shared" si="9"/>
        <v>2024-03-24 01:23:00</v>
      </c>
    </row>
    <row r="604" spans="1:2" x14ac:dyDescent="0.2">
      <c r="A604" t="s">
        <v>656</v>
      </c>
      <c r="B604" s="8" t="str">
        <f t="shared" si="9"/>
        <v>2024-02-23 14:24:00</v>
      </c>
    </row>
    <row r="605" spans="1:2" x14ac:dyDescent="0.2">
      <c r="A605" t="s">
        <v>657</v>
      </c>
      <c r="B605" s="8" t="str">
        <f t="shared" si="9"/>
        <v>2024-02-10 10:23:00</v>
      </c>
    </row>
    <row r="606" spans="1:2" x14ac:dyDescent="0.2">
      <c r="A606" t="s">
        <v>658</v>
      </c>
      <c r="B606" s="8" t="str">
        <f t="shared" si="9"/>
        <v>2024-04-09 19:19:00</v>
      </c>
    </row>
    <row r="607" spans="1:2" x14ac:dyDescent="0.2">
      <c r="A607" t="s">
        <v>659</v>
      </c>
      <c r="B607" s="8" t="str">
        <f t="shared" si="9"/>
        <v>2024-02-02 22:55:00</v>
      </c>
    </row>
    <row r="608" spans="1:2" x14ac:dyDescent="0.2">
      <c r="A608" t="s">
        <v>660</v>
      </c>
      <c r="B608" s="8" t="str">
        <f t="shared" si="9"/>
        <v>2024-03-13 04:17:00</v>
      </c>
    </row>
    <row r="609" spans="1:2" x14ac:dyDescent="0.2">
      <c r="A609" t="s">
        <v>661</v>
      </c>
      <c r="B609" s="8" t="str">
        <f t="shared" si="9"/>
        <v>2024-05-10 04:38:00</v>
      </c>
    </row>
    <row r="610" spans="1:2" x14ac:dyDescent="0.2">
      <c r="A610" t="s">
        <v>662</v>
      </c>
      <c r="B610" s="8" t="str">
        <f t="shared" si="9"/>
        <v>2024-01-25 19:58:00</v>
      </c>
    </row>
    <row r="611" spans="1:2" x14ac:dyDescent="0.2">
      <c r="A611" t="s">
        <v>663</v>
      </c>
      <c r="B611" s="8" t="str">
        <f t="shared" si="9"/>
        <v>2024-01-09 16:00:00</v>
      </c>
    </row>
    <row r="612" spans="1:2" x14ac:dyDescent="0.2">
      <c r="A612" t="s">
        <v>664</v>
      </c>
      <c r="B612" s="8" t="str">
        <f t="shared" si="9"/>
        <v>2024-04-26 05:39:00</v>
      </c>
    </row>
    <row r="613" spans="1:2" x14ac:dyDescent="0.2">
      <c r="A613" t="s">
        <v>665</v>
      </c>
      <c r="B613" s="8" t="str">
        <f t="shared" si="9"/>
        <v>2024-02-06 10:47:00</v>
      </c>
    </row>
    <row r="614" spans="1:2" x14ac:dyDescent="0.2">
      <c r="A614" t="s">
        <v>666</v>
      </c>
      <c r="B614" s="8" t="str">
        <f t="shared" si="9"/>
        <v>2024-03-09 21:26:00</v>
      </c>
    </row>
    <row r="615" spans="1:2" x14ac:dyDescent="0.2">
      <c r="A615" t="s">
        <v>667</v>
      </c>
      <c r="B615" s="8" t="str">
        <f t="shared" si="9"/>
        <v>2024-05-13 00:51:00</v>
      </c>
    </row>
    <row r="616" spans="1:2" x14ac:dyDescent="0.2">
      <c r="A616" t="s">
        <v>668</v>
      </c>
      <c r="B616" s="8" t="str">
        <f t="shared" si="9"/>
        <v>2024-01-12 09:07:00</v>
      </c>
    </row>
    <row r="617" spans="1:2" x14ac:dyDescent="0.2">
      <c r="A617" t="s">
        <v>669</v>
      </c>
      <c r="B617" s="8" t="str">
        <f t="shared" si="9"/>
        <v>2024-01-03 01:16:00</v>
      </c>
    </row>
    <row r="618" spans="1:2" x14ac:dyDescent="0.2">
      <c r="A618" t="s">
        <v>670</v>
      </c>
      <c r="B618" s="8" t="str">
        <f t="shared" si="9"/>
        <v>2024-03-29 14:15:00</v>
      </c>
    </row>
    <row r="619" spans="1:2" x14ac:dyDescent="0.2">
      <c r="A619" t="s">
        <v>671</v>
      </c>
      <c r="B619" s="8" t="str">
        <f t="shared" si="9"/>
        <v>2024-03-02 00:04:00</v>
      </c>
    </row>
    <row r="620" spans="1:2" x14ac:dyDescent="0.2">
      <c r="A620" t="s">
        <v>672</v>
      </c>
      <c r="B620" s="8" t="str">
        <f t="shared" si="9"/>
        <v>2024-01-16 02:08:00</v>
      </c>
    </row>
    <row r="621" spans="1:2" x14ac:dyDescent="0.2">
      <c r="A621" t="s">
        <v>673</v>
      </c>
      <c r="B621" s="8" t="str">
        <f t="shared" si="9"/>
        <v>2024-02-08 02:58:00</v>
      </c>
    </row>
    <row r="622" spans="1:2" x14ac:dyDescent="0.2">
      <c r="A622" t="s">
        <v>674</v>
      </c>
      <c r="B622" s="8" t="str">
        <f t="shared" si="9"/>
        <v>2024-03-21 19:32:00</v>
      </c>
    </row>
    <row r="623" spans="1:2" x14ac:dyDescent="0.2">
      <c r="A623" t="s">
        <v>675</v>
      </c>
      <c r="B623" s="8" t="str">
        <f t="shared" si="9"/>
        <v>2024-04-20 00:35:00</v>
      </c>
    </row>
    <row r="624" spans="1:2" x14ac:dyDescent="0.2">
      <c r="A624" t="s">
        <v>676</v>
      </c>
      <c r="B624" s="8" t="str">
        <f t="shared" si="9"/>
        <v>2024-05-10 17:50:00</v>
      </c>
    </row>
    <row r="625" spans="1:2" x14ac:dyDescent="0.2">
      <c r="A625" t="s">
        <v>677</v>
      </c>
      <c r="B625" s="8" t="str">
        <f t="shared" si="9"/>
        <v>2024-05-01 22:36:00</v>
      </c>
    </row>
    <row r="626" spans="1:2" x14ac:dyDescent="0.2">
      <c r="A626" t="s">
        <v>678</v>
      </c>
      <c r="B626" s="8" t="str">
        <f t="shared" si="9"/>
        <v>2024-04-16 18:41:00</v>
      </c>
    </row>
    <row r="627" spans="1:2" x14ac:dyDescent="0.2">
      <c r="A627" t="s">
        <v>679</v>
      </c>
      <c r="B627" s="8" t="str">
        <f t="shared" si="9"/>
        <v>2024-04-01 01:57:00</v>
      </c>
    </row>
    <row r="628" spans="1:2" x14ac:dyDescent="0.2">
      <c r="A628" t="s">
        <v>680</v>
      </c>
      <c r="B628" s="8" t="str">
        <f t="shared" si="9"/>
        <v>2024-02-07 18:46:00</v>
      </c>
    </row>
    <row r="629" spans="1:2" x14ac:dyDescent="0.2">
      <c r="A629" t="s">
        <v>681</v>
      </c>
      <c r="B629" s="8" t="str">
        <f t="shared" si="9"/>
        <v>2024-04-21 21:40:00</v>
      </c>
    </row>
    <row r="630" spans="1:2" x14ac:dyDescent="0.2">
      <c r="A630" t="s">
        <v>682</v>
      </c>
      <c r="B630" s="8" t="str">
        <f t="shared" si="9"/>
        <v>2024-04-20 13:24:00</v>
      </c>
    </row>
    <row r="631" spans="1:2" x14ac:dyDescent="0.2">
      <c r="A631" t="s">
        <v>683</v>
      </c>
      <c r="B631" s="8" t="str">
        <f t="shared" si="9"/>
        <v>2024-02-22 18:38:00</v>
      </c>
    </row>
    <row r="632" spans="1:2" x14ac:dyDescent="0.2">
      <c r="A632" t="s">
        <v>684</v>
      </c>
      <c r="B632" s="8" t="str">
        <f t="shared" si="9"/>
        <v>2024-04-15 13:37:00</v>
      </c>
    </row>
    <row r="633" spans="1:2" x14ac:dyDescent="0.2">
      <c r="A633" t="s">
        <v>685</v>
      </c>
      <c r="B633" s="8" t="str">
        <f t="shared" si="9"/>
        <v>2024-02-14 14:12:00</v>
      </c>
    </row>
    <row r="634" spans="1:2" x14ac:dyDescent="0.2">
      <c r="A634" t="s">
        <v>686</v>
      </c>
      <c r="B634" s="8" t="str">
        <f t="shared" si="9"/>
        <v>2024-05-24 06:41:00</v>
      </c>
    </row>
    <row r="635" spans="1:2" x14ac:dyDescent="0.2">
      <c r="A635" t="s">
        <v>687</v>
      </c>
      <c r="B635" s="8" t="str">
        <f t="shared" si="9"/>
        <v>2024-04-07 05:51:00</v>
      </c>
    </row>
    <row r="636" spans="1:2" x14ac:dyDescent="0.2">
      <c r="A636" t="s">
        <v>688</v>
      </c>
      <c r="B636" s="8" t="str">
        <f t="shared" si="9"/>
        <v>2024-02-07 21:44:00</v>
      </c>
    </row>
    <row r="637" spans="1:2" x14ac:dyDescent="0.2">
      <c r="A637" t="s">
        <v>689</v>
      </c>
      <c r="B637" s="8" t="str">
        <f t="shared" si="9"/>
        <v>2024-03-12 03:03:00</v>
      </c>
    </row>
    <row r="638" spans="1:2" x14ac:dyDescent="0.2">
      <c r="A638" t="s">
        <v>690</v>
      </c>
      <c r="B638" s="8" t="str">
        <f t="shared" si="9"/>
        <v>2024-01-12 05:40:00</v>
      </c>
    </row>
    <row r="639" spans="1:2" x14ac:dyDescent="0.2">
      <c r="A639" t="s">
        <v>691</v>
      </c>
      <c r="B639" s="8" t="str">
        <f t="shared" si="9"/>
        <v>2024-01-26 09:27:00</v>
      </c>
    </row>
    <row r="640" spans="1:2" x14ac:dyDescent="0.2">
      <c r="A640" t="s">
        <v>692</v>
      </c>
      <c r="B640" s="8" t="str">
        <f t="shared" si="9"/>
        <v>2024-02-28 09:21:00</v>
      </c>
    </row>
    <row r="641" spans="1:2" x14ac:dyDescent="0.2">
      <c r="A641" t="s">
        <v>693</v>
      </c>
      <c r="B641" s="8" t="str">
        <f t="shared" si="9"/>
        <v>2024-02-28 21:45:00</v>
      </c>
    </row>
    <row r="642" spans="1:2" x14ac:dyDescent="0.2">
      <c r="A642" t="s">
        <v>694</v>
      </c>
      <c r="B642" s="8" t="str">
        <f t="shared" si="9"/>
        <v>2024-03-19 20:39:00</v>
      </c>
    </row>
    <row r="643" spans="1:2" x14ac:dyDescent="0.2">
      <c r="A643" t="s">
        <v>695</v>
      </c>
      <c r="B643" s="8" t="str">
        <f t="shared" ref="B643:C706" si="10">RIGHT(A643,19)</f>
        <v>2024-02-04 02:19:00</v>
      </c>
    </row>
    <row r="644" spans="1:2" x14ac:dyDescent="0.2">
      <c r="A644" t="s">
        <v>696</v>
      </c>
      <c r="B644" s="8" t="str">
        <f t="shared" si="10"/>
        <v>2024-02-10 15:48:00</v>
      </c>
    </row>
    <row r="645" spans="1:2" x14ac:dyDescent="0.2">
      <c r="A645" t="s">
        <v>697</v>
      </c>
      <c r="B645" s="8" t="str">
        <f t="shared" si="10"/>
        <v>2024-02-09 15:50:00</v>
      </c>
    </row>
    <row r="646" spans="1:2" x14ac:dyDescent="0.2">
      <c r="A646" t="s">
        <v>698</v>
      </c>
      <c r="B646" s="8" t="str">
        <f t="shared" si="10"/>
        <v>2024-03-02 18:57:00</v>
      </c>
    </row>
    <row r="647" spans="1:2" x14ac:dyDescent="0.2">
      <c r="A647" t="s">
        <v>699</v>
      </c>
      <c r="B647" s="8" t="str">
        <f t="shared" si="10"/>
        <v>2024-02-28 03:00:00</v>
      </c>
    </row>
    <row r="648" spans="1:2" x14ac:dyDescent="0.2">
      <c r="A648" t="s">
        <v>700</v>
      </c>
      <c r="B648" s="8" t="str">
        <f t="shared" si="10"/>
        <v>2024-05-05 08:40:00</v>
      </c>
    </row>
    <row r="649" spans="1:2" x14ac:dyDescent="0.2">
      <c r="A649" t="s">
        <v>701</v>
      </c>
      <c r="B649" s="8" t="str">
        <f t="shared" si="10"/>
        <v>2024-01-03 15:47:00</v>
      </c>
    </row>
    <row r="650" spans="1:2" x14ac:dyDescent="0.2">
      <c r="A650" t="s">
        <v>702</v>
      </c>
      <c r="B650" s="8" t="str">
        <f t="shared" si="10"/>
        <v>2024-05-08 23:07:00</v>
      </c>
    </row>
    <row r="651" spans="1:2" x14ac:dyDescent="0.2">
      <c r="A651" t="s">
        <v>703</v>
      </c>
      <c r="B651" s="8" t="str">
        <f t="shared" si="10"/>
        <v>2024-01-24 06:20:00</v>
      </c>
    </row>
    <row r="652" spans="1:2" x14ac:dyDescent="0.2">
      <c r="A652" t="s">
        <v>704</v>
      </c>
      <c r="B652" s="8" t="str">
        <f t="shared" si="10"/>
        <v>2024-01-18 04:25:00</v>
      </c>
    </row>
    <row r="653" spans="1:2" x14ac:dyDescent="0.2">
      <c r="A653" t="s">
        <v>705</v>
      </c>
      <c r="B653" s="8" t="str">
        <f t="shared" si="10"/>
        <v>2024-01-29 00:27:00</v>
      </c>
    </row>
    <row r="654" spans="1:2" x14ac:dyDescent="0.2">
      <c r="A654" t="s">
        <v>706</v>
      </c>
      <c r="B654" s="8" t="str">
        <f t="shared" si="10"/>
        <v>2024-04-21 11:22:00</v>
      </c>
    </row>
    <row r="655" spans="1:2" x14ac:dyDescent="0.2">
      <c r="A655" t="s">
        <v>707</v>
      </c>
      <c r="B655" s="8" t="str">
        <f t="shared" si="10"/>
        <v>2024-01-07 17:53:00</v>
      </c>
    </row>
    <row r="656" spans="1:2" x14ac:dyDescent="0.2">
      <c r="A656" t="s">
        <v>708</v>
      </c>
      <c r="B656" s="8" t="str">
        <f t="shared" si="10"/>
        <v>2024-04-29 00:37:00</v>
      </c>
    </row>
    <row r="657" spans="1:2" x14ac:dyDescent="0.2">
      <c r="A657" t="s">
        <v>709</v>
      </c>
      <c r="B657" s="8" t="str">
        <f t="shared" si="10"/>
        <v>2024-03-24 19:40:00</v>
      </c>
    </row>
    <row r="658" spans="1:2" x14ac:dyDescent="0.2">
      <c r="A658" t="s">
        <v>710</v>
      </c>
      <c r="B658" s="8" t="str">
        <f t="shared" si="10"/>
        <v>2024-02-08 10:50:00</v>
      </c>
    </row>
    <row r="659" spans="1:2" x14ac:dyDescent="0.2">
      <c r="A659" t="s">
        <v>711</v>
      </c>
      <c r="B659" s="8" t="str">
        <f t="shared" si="10"/>
        <v>2024-01-03 15:42:00</v>
      </c>
    </row>
    <row r="660" spans="1:2" x14ac:dyDescent="0.2">
      <c r="A660" t="s">
        <v>712</v>
      </c>
      <c r="B660" s="8" t="str">
        <f t="shared" si="10"/>
        <v>2024-04-18 16:14:00</v>
      </c>
    </row>
    <row r="661" spans="1:2" x14ac:dyDescent="0.2">
      <c r="A661" t="s">
        <v>713</v>
      </c>
      <c r="B661" s="8" t="str">
        <f t="shared" si="10"/>
        <v>2024-03-17 01:44:00</v>
      </c>
    </row>
    <row r="662" spans="1:2" x14ac:dyDescent="0.2">
      <c r="A662" t="s">
        <v>714</v>
      </c>
      <c r="B662" s="8" t="str">
        <f t="shared" si="10"/>
        <v>2024-05-06 01:21:00</v>
      </c>
    </row>
    <row r="663" spans="1:2" x14ac:dyDescent="0.2">
      <c r="A663" t="s">
        <v>715</v>
      </c>
      <c r="B663" s="8" t="str">
        <f t="shared" si="10"/>
        <v>2024-05-21 14:24:00</v>
      </c>
    </row>
    <row r="664" spans="1:2" x14ac:dyDescent="0.2">
      <c r="A664" t="s">
        <v>716</v>
      </c>
      <c r="B664" s="8" t="str">
        <f t="shared" si="10"/>
        <v>2024-03-07 11:06:00</v>
      </c>
    </row>
    <row r="665" spans="1:2" x14ac:dyDescent="0.2">
      <c r="A665" t="s">
        <v>717</v>
      </c>
      <c r="B665" s="8" t="str">
        <f t="shared" si="10"/>
        <v>2024-05-03 13:16:00</v>
      </c>
    </row>
    <row r="666" spans="1:2" x14ac:dyDescent="0.2">
      <c r="A666" t="s">
        <v>718</v>
      </c>
      <c r="B666" s="8" t="str">
        <f t="shared" si="10"/>
        <v>2024-01-10 12:21:00</v>
      </c>
    </row>
    <row r="667" spans="1:2" x14ac:dyDescent="0.2">
      <c r="A667" t="s">
        <v>719</v>
      </c>
      <c r="B667" s="8" t="str">
        <f t="shared" si="10"/>
        <v>2024-05-19 14:09:00</v>
      </c>
    </row>
    <row r="668" spans="1:2" x14ac:dyDescent="0.2">
      <c r="A668" t="s">
        <v>720</v>
      </c>
      <c r="B668" s="8" t="str">
        <f t="shared" si="10"/>
        <v>2024-05-05 12:11:00</v>
      </c>
    </row>
    <row r="669" spans="1:2" x14ac:dyDescent="0.2">
      <c r="A669" t="s">
        <v>721</v>
      </c>
      <c r="B669" s="8" t="str">
        <f t="shared" si="10"/>
        <v>2024-05-14 07:57:00</v>
      </c>
    </row>
    <row r="670" spans="1:2" x14ac:dyDescent="0.2">
      <c r="A670" t="s">
        <v>722</v>
      </c>
      <c r="B670" s="8" t="str">
        <f t="shared" si="10"/>
        <v>2024-04-01 04:07:00</v>
      </c>
    </row>
    <row r="671" spans="1:2" x14ac:dyDescent="0.2">
      <c r="A671" t="s">
        <v>723</v>
      </c>
      <c r="B671" s="8" t="str">
        <f t="shared" si="10"/>
        <v>2024-02-03 00:30:00</v>
      </c>
    </row>
    <row r="672" spans="1:2" x14ac:dyDescent="0.2">
      <c r="A672" t="s">
        <v>724</v>
      </c>
      <c r="B672" s="8" t="str">
        <f t="shared" si="10"/>
        <v>2024-04-06 11:25:00</v>
      </c>
    </row>
    <row r="673" spans="1:2" x14ac:dyDescent="0.2">
      <c r="A673" t="s">
        <v>725</v>
      </c>
      <c r="B673" s="8" t="str">
        <f t="shared" si="10"/>
        <v>2024-04-12 12:50:00</v>
      </c>
    </row>
    <row r="674" spans="1:2" x14ac:dyDescent="0.2">
      <c r="A674" t="s">
        <v>726</v>
      </c>
      <c r="B674" s="8" t="str">
        <f t="shared" si="10"/>
        <v>2024-01-14 17:22:00</v>
      </c>
    </row>
    <row r="675" spans="1:2" x14ac:dyDescent="0.2">
      <c r="A675" t="s">
        <v>727</v>
      </c>
      <c r="B675" s="8" t="str">
        <f t="shared" si="10"/>
        <v>2024-01-10 02:44:00</v>
      </c>
    </row>
    <row r="676" spans="1:2" x14ac:dyDescent="0.2">
      <c r="A676" t="s">
        <v>728</v>
      </c>
      <c r="B676" s="8" t="str">
        <f t="shared" si="10"/>
        <v>2024-05-07 23:15:00</v>
      </c>
    </row>
    <row r="677" spans="1:2" x14ac:dyDescent="0.2">
      <c r="A677" t="s">
        <v>729</v>
      </c>
      <c r="B677" s="8" t="str">
        <f t="shared" si="10"/>
        <v>2024-05-05 13:54:00</v>
      </c>
    </row>
    <row r="678" spans="1:2" x14ac:dyDescent="0.2">
      <c r="A678" t="s">
        <v>730</v>
      </c>
      <c r="B678" s="8" t="str">
        <f t="shared" si="10"/>
        <v>2024-03-01 16:24:00</v>
      </c>
    </row>
    <row r="679" spans="1:2" x14ac:dyDescent="0.2">
      <c r="A679" t="s">
        <v>731</v>
      </c>
      <c r="B679" s="8" t="str">
        <f t="shared" si="10"/>
        <v>2024-03-25 11:06:00</v>
      </c>
    </row>
    <row r="680" spans="1:2" x14ac:dyDescent="0.2">
      <c r="A680" t="s">
        <v>732</v>
      </c>
      <c r="B680" s="8" t="str">
        <f t="shared" si="10"/>
        <v>2024-01-04 09:57:00</v>
      </c>
    </row>
    <row r="681" spans="1:2" x14ac:dyDescent="0.2">
      <c r="A681" t="s">
        <v>733</v>
      </c>
      <c r="B681" s="8" t="str">
        <f t="shared" si="10"/>
        <v>2024-05-01 16:35:00</v>
      </c>
    </row>
    <row r="682" spans="1:2" x14ac:dyDescent="0.2">
      <c r="A682" t="s">
        <v>734</v>
      </c>
      <c r="B682" s="8" t="str">
        <f t="shared" si="10"/>
        <v>2024-02-27 01:12:00</v>
      </c>
    </row>
    <row r="683" spans="1:2" x14ac:dyDescent="0.2">
      <c r="A683" t="s">
        <v>735</v>
      </c>
      <c r="B683" s="8" t="str">
        <f t="shared" si="10"/>
        <v>2024-05-11 17:05:00</v>
      </c>
    </row>
    <row r="684" spans="1:2" x14ac:dyDescent="0.2">
      <c r="A684" t="s">
        <v>736</v>
      </c>
      <c r="B684" s="8" t="str">
        <f t="shared" si="10"/>
        <v>2024-01-21 07:36:00</v>
      </c>
    </row>
    <row r="685" spans="1:2" x14ac:dyDescent="0.2">
      <c r="A685" t="s">
        <v>737</v>
      </c>
      <c r="B685" s="8" t="str">
        <f t="shared" si="10"/>
        <v>2024-04-08 01:47:00</v>
      </c>
    </row>
    <row r="686" spans="1:2" x14ac:dyDescent="0.2">
      <c r="A686" t="s">
        <v>738</v>
      </c>
      <c r="B686" s="8" t="str">
        <f t="shared" si="10"/>
        <v>2024-02-07 23:39:00</v>
      </c>
    </row>
    <row r="687" spans="1:2" x14ac:dyDescent="0.2">
      <c r="A687" t="s">
        <v>739</v>
      </c>
      <c r="B687" s="8" t="str">
        <f t="shared" si="10"/>
        <v>2024-01-21 13:24:00</v>
      </c>
    </row>
    <row r="688" spans="1:2" x14ac:dyDescent="0.2">
      <c r="A688" t="s">
        <v>740</v>
      </c>
      <c r="B688" s="8" t="str">
        <f t="shared" si="10"/>
        <v>2024-04-25 22:21:00</v>
      </c>
    </row>
    <row r="689" spans="1:2" x14ac:dyDescent="0.2">
      <c r="A689" t="s">
        <v>741</v>
      </c>
      <c r="B689" s="8" t="str">
        <f t="shared" si="10"/>
        <v>2024-04-05 03:29:00</v>
      </c>
    </row>
    <row r="690" spans="1:2" x14ac:dyDescent="0.2">
      <c r="A690" t="s">
        <v>742</v>
      </c>
      <c r="B690" s="8" t="str">
        <f t="shared" si="10"/>
        <v>2024-01-22 04:02:00</v>
      </c>
    </row>
    <row r="691" spans="1:2" x14ac:dyDescent="0.2">
      <c r="A691" t="s">
        <v>743</v>
      </c>
      <c r="B691" s="8" t="str">
        <f t="shared" si="10"/>
        <v>2024-05-01 22:21:00</v>
      </c>
    </row>
    <row r="692" spans="1:2" x14ac:dyDescent="0.2">
      <c r="A692" t="s">
        <v>744</v>
      </c>
      <c r="B692" s="8" t="str">
        <f t="shared" si="10"/>
        <v>2024-03-15 20:19:00</v>
      </c>
    </row>
    <row r="693" spans="1:2" x14ac:dyDescent="0.2">
      <c r="A693" t="s">
        <v>745</v>
      </c>
      <c r="B693" s="8" t="str">
        <f t="shared" si="10"/>
        <v>2024-05-15 02:26:00</v>
      </c>
    </row>
    <row r="694" spans="1:2" x14ac:dyDescent="0.2">
      <c r="A694" t="s">
        <v>746</v>
      </c>
      <c r="B694" s="8" t="str">
        <f t="shared" si="10"/>
        <v>2024-02-26 23:02:00</v>
      </c>
    </row>
    <row r="695" spans="1:2" x14ac:dyDescent="0.2">
      <c r="A695" t="s">
        <v>747</v>
      </c>
      <c r="B695" s="8" t="str">
        <f t="shared" si="10"/>
        <v>2024-01-09 08:13:00</v>
      </c>
    </row>
    <row r="696" spans="1:2" x14ac:dyDescent="0.2">
      <c r="A696" t="s">
        <v>748</v>
      </c>
      <c r="B696" s="8" t="str">
        <f t="shared" si="10"/>
        <v>2024-01-21 23:12:00</v>
      </c>
    </row>
    <row r="697" spans="1:2" x14ac:dyDescent="0.2">
      <c r="A697" t="s">
        <v>749</v>
      </c>
      <c r="B697" s="8" t="str">
        <f t="shared" si="10"/>
        <v>2024-03-04 10:10:00</v>
      </c>
    </row>
    <row r="698" spans="1:2" x14ac:dyDescent="0.2">
      <c r="A698" t="s">
        <v>750</v>
      </c>
      <c r="B698" s="8" t="str">
        <f t="shared" si="10"/>
        <v>2024-03-12 20:43:00</v>
      </c>
    </row>
    <row r="699" spans="1:2" x14ac:dyDescent="0.2">
      <c r="A699" t="s">
        <v>751</v>
      </c>
      <c r="B699" s="8" t="str">
        <f t="shared" si="10"/>
        <v>2024-02-06 14:33:00</v>
      </c>
    </row>
    <row r="700" spans="1:2" x14ac:dyDescent="0.2">
      <c r="A700" t="s">
        <v>752</v>
      </c>
      <c r="B700" s="8" t="str">
        <f t="shared" si="10"/>
        <v>2024-02-07 20:22:00</v>
      </c>
    </row>
    <row r="701" spans="1:2" x14ac:dyDescent="0.2">
      <c r="A701" t="s">
        <v>753</v>
      </c>
      <c r="B701" s="8" t="str">
        <f t="shared" si="10"/>
        <v>2024-01-18 13:04:00</v>
      </c>
    </row>
    <row r="702" spans="1:2" x14ac:dyDescent="0.2">
      <c r="A702" t="s">
        <v>754</v>
      </c>
      <c r="B702" s="8" t="str">
        <f t="shared" si="10"/>
        <v>2024-01-14 19:03:00</v>
      </c>
    </row>
    <row r="703" spans="1:2" x14ac:dyDescent="0.2">
      <c r="A703" t="s">
        <v>755</v>
      </c>
      <c r="B703" s="8" t="str">
        <f t="shared" si="10"/>
        <v>2024-03-20 09:41:00</v>
      </c>
    </row>
    <row r="704" spans="1:2" x14ac:dyDescent="0.2">
      <c r="A704" t="s">
        <v>756</v>
      </c>
      <c r="B704" s="8" t="str">
        <f t="shared" si="10"/>
        <v>2024-04-05 17:09:00</v>
      </c>
    </row>
    <row r="705" spans="1:2" x14ac:dyDescent="0.2">
      <c r="A705" t="s">
        <v>757</v>
      </c>
      <c r="B705" s="8" t="str">
        <f t="shared" si="10"/>
        <v>2024-04-01 12:57:00</v>
      </c>
    </row>
    <row r="706" spans="1:2" x14ac:dyDescent="0.2">
      <c r="A706" t="s">
        <v>758</v>
      </c>
      <c r="B706" s="8" t="str">
        <f t="shared" si="10"/>
        <v>2024-03-08 22:50:00</v>
      </c>
    </row>
    <row r="707" spans="1:2" x14ac:dyDescent="0.2">
      <c r="A707" t="s">
        <v>759</v>
      </c>
      <c r="B707" s="8" t="str">
        <f t="shared" ref="B707:C770" si="11">RIGHT(A707,19)</f>
        <v>2024-05-21 07:49:00</v>
      </c>
    </row>
    <row r="708" spans="1:2" x14ac:dyDescent="0.2">
      <c r="A708" t="s">
        <v>760</v>
      </c>
      <c r="B708" s="8" t="str">
        <f t="shared" si="11"/>
        <v>2024-05-15 16:46:00</v>
      </c>
    </row>
    <row r="709" spans="1:2" x14ac:dyDescent="0.2">
      <c r="A709" t="s">
        <v>761</v>
      </c>
      <c r="B709" s="8" t="str">
        <f t="shared" si="11"/>
        <v>2024-02-28 10:52:00</v>
      </c>
    </row>
    <row r="710" spans="1:2" x14ac:dyDescent="0.2">
      <c r="A710" t="s">
        <v>762</v>
      </c>
      <c r="B710" s="8" t="str">
        <f t="shared" si="11"/>
        <v>2024-02-05 14:42:00</v>
      </c>
    </row>
    <row r="711" spans="1:2" x14ac:dyDescent="0.2">
      <c r="A711" t="s">
        <v>763</v>
      </c>
      <c r="B711" s="8" t="str">
        <f t="shared" si="11"/>
        <v>2024-04-12 00:31:00</v>
      </c>
    </row>
    <row r="712" spans="1:2" x14ac:dyDescent="0.2">
      <c r="A712" t="s">
        <v>764</v>
      </c>
      <c r="B712" s="8" t="str">
        <f t="shared" si="11"/>
        <v>2024-03-06 00:50:00</v>
      </c>
    </row>
    <row r="713" spans="1:2" x14ac:dyDescent="0.2">
      <c r="A713" t="s">
        <v>765</v>
      </c>
      <c r="B713" s="8" t="str">
        <f t="shared" si="11"/>
        <v>2024-02-26 05:41:00</v>
      </c>
    </row>
    <row r="714" spans="1:2" x14ac:dyDescent="0.2">
      <c r="A714" t="s">
        <v>766</v>
      </c>
      <c r="B714" s="8" t="str">
        <f t="shared" si="11"/>
        <v>2024-05-21 15:50:00</v>
      </c>
    </row>
    <row r="715" spans="1:2" x14ac:dyDescent="0.2">
      <c r="A715" t="s">
        <v>767</v>
      </c>
      <c r="B715" s="8" t="str">
        <f t="shared" si="11"/>
        <v>2024-01-08 08:02:00</v>
      </c>
    </row>
    <row r="716" spans="1:2" x14ac:dyDescent="0.2">
      <c r="A716" t="s">
        <v>768</v>
      </c>
      <c r="B716" s="8" t="str">
        <f t="shared" si="11"/>
        <v>2024-01-02 13:07:00</v>
      </c>
    </row>
    <row r="717" spans="1:2" x14ac:dyDescent="0.2">
      <c r="A717" t="s">
        <v>769</v>
      </c>
      <c r="B717" s="8" t="str">
        <f t="shared" si="11"/>
        <v>2024-04-23 07:06:00</v>
      </c>
    </row>
    <row r="718" spans="1:2" x14ac:dyDescent="0.2">
      <c r="A718" t="s">
        <v>770</v>
      </c>
      <c r="B718" s="8" t="str">
        <f t="shared" si="11"/>
        <v>2024-01-16 12:34:00</v>
      </c>
    </row>
    <row r="719" spans="1:2" x14ac:dyDescent="0.2">
      <c r="A719" t="s">
        <v>771</v>
      </c>
      <c r="B719" s="8" t="str">
        <f t="shared" si="11"/>
        <v>2024-04-11 09:38:00</v>
      </c>
    </row>
    <row r="720" spans="1:2" x14ac:dyDescent="0.2">
      <c r="A720" t="s">
        <v>772</v>
      </c>
      <c r="B720" s="8" t="str">
        <f t="shared" si="11"/>
        <v>2024-03-19 11:17:00</v>
      </c>
    </row>
    <row r="721" spans="1:2" x14ac:dyDescent="0.2">
      <c r="A721" t="s">
        <v>773</v>
      </c>
      <c r="B721" s="8" t="str">
        <f t="shared" si="11"/>
        <v>2024-02-23 13:25:00</v>
      </c>
    </row>
    <row r="722" spans="1:2" x14ac:dyDescent="0.2">
      <c r="A722" t="s">
        <v>774</v>
      </c>
      <c r="B722" s="8" t="str">
        <f t="shared" si="11"/>
        <v>2024-05-25 04:30:00</v>
      </c>
    </row>
    <row r="723" spans="1:2" x14ac:dyDescent="0.2">
      <c r="A723" t="s">
        <v>775</v>
      </c>
      <c r="B723" s="8" t="str">
        <f t="shared" si="11"/>
        <v>2024-03-08 13:04:00</v>
      </c>
    </row>
    <row r="724" spans="1:2" x14ac:dyDescent="0.2">
      <c r="A724" t="s">
        <v>776</v>
      </c>
      <c r="B724" s="8" t="str">
        <f t="shared" si="11"/>
        <v>2024-01-04 22:55:00</v>
      </c>
    </row>
    <row r="725" spans="1:2" x14ac:dyDescent="0.2">
      <c r="A725" t="s">
        <v>777</v>
      </c>
      <c r="B725" s="8" t="str">
        <f t="shared" si="11"/>
        <v>2024-04-29 08:21:00</v>
      </c>
    </row>
    <row r="726" spans="1:2" x14ac:dyDescent="0.2">
      <c r="A726" t="s">
        <v>778</v>
      </c>
      <c r="B726" s="8" t="str">
        <f t="shared" si="11"/>
        <v>2024-02-16 08:46:00</v>
      </c>
    </row>
    <row r="727" spans="1:2" x14ac:dyDescent="0.2">
      <c r="A727" t="s">
        <v>779</v>
      </c>
      <c r="B727" s="8" t="str">
        <f t="shared" si="11"/>
        <v>2024-02-08 09:24:00</v>
      </c>
    </row>
    <row r="728" spans="1:2" x14ac:dyDescent="0.2">
      <c r="A728" t="s">
        <v>780</v>
      </c>
      <c r="B728" s="8" t="str">
        <f t="shared" si="11"/>
        <v>2024-04-24 23:05:00</v>
      </c>
    </row>
    <row r="729" spans="1:2" x14ac:dyDescent="0.2">
      <c r="A729" t="s">
        <v>781</v>
      </c>
      <c r="B729" s="8" t="str">
        <f t="shared" si="11"/>
        <v>2024-02-26 20:52:00</v>
      </c>
    </row>
    <row r="730" spans="1:2" x14ac:dyDescent="0.2">
      <c r="A730" t="s">
        <v>782</v>
      </c>
      <c r="B730" s="8" t="str">
        <f t="shared" si="11"/>
        <v>2024-01-30 15:59:00</v>
      </c>
    </row>
    <row r="731" spans="1:2" x14ac:dyDescent="0.2">
      <c r="A731" t="s">
        <v>783</v>
      </c>
      <c r="B731" s="8" t="str">
        <f t="shared" si="11"/>
        <v>2024-03-13 04:52:00</v>
      </c>
    </row>
    <row r="732" spans="1:2" x14ac:dyDescent="0.2">
      <c r="A732" t="s">
        <v>784</v>
      </c>
      <c r="B732" s="8" t="str">
        <f t="shared" si="11"/>
        <v>2024-01-22 15:01:00</v>
      </c>
    </row>
    <row r="733" spans="1:2" x14ac:dyDescent="0.2">
      <c r="A733" t="s">
        <v>785</v>
      </c>
      <c r="B733" s="8" t="str">
        <f t="shared" si="11"/>
        <v>2024-02-22 13:27:00</v>
      </c>
    </row>
    <row r="734" spans="1:2" x14ac:dyDescent="0.2">
      <c r="A734" t="s">
        <v>786</v>
      </c>
      <c r="B734" s="8" t="str">
        <f t="shared" si="11"/>
        <v>2024-02-26 20:31:00</v>
      </c>
    </row>
    <row r="735" spans="1:2" x14ac:dyDescent="0.2">
      <c r="A735" t="s">
        <v>787</v>
      </c>
      <c r="B735" s="8" t="str">
        <f t="shared" si="11"/>
        <v>2024-02-22 00:29:00</v>
      </c>
    </row>
    <row r="736" spans="1:2" x14ac:dyDescent="0.2">
      <c r="A736" t="s">
        <v>788</v>
      </c>
      <c r="B736" s="8" t="str">
        <f t="shared" si="11"/>
        <v>2024-03-20 13:15:00</v>
      </c>
    </row>
    <row r="737" spans="1:2" x14ac:dyDescent="0.2">
      <c r="A737" t="s">
        <v>789</v>
      </c>
      <c r="B737" s="8" t="str">
        <f t="shared" si="11"/>
        <v>2024-01-15 09:24:00</v>
      </c>
    </row>
    <row r="738" spans="1:2" x14ac:dyDescent="0.2">
      <c r="A738" t="s">
        <v>790</v>
      </c>
      <c r="B738" s="8" t="str">
        <f t="shared" si="11"/>
        <v>2024-01-01 12:10:00</v>
      </c>
    </row>
    <row r="739" spans="1:2" x14ac:dyDescent="0.2">
      <c r="A739" t="s">
        <v>791</v>
      </c>
      <c r="B739" s="8" t="str">
        <f t="shared" si="11"/>
        <v>2024-04-11 06:54:00</v>
      </c>
    </row>
    <row r="740" spans="1:2" x14ac:dyDescent="0.2">
      <c r="A740" t="s">
        <v>792</v>
      </c>
      <c r="B740" s="8" t="str">
        <f t="shared" si="11"/>
        <v>2024-05-24 03:01:00</v>
      </c>
    </row>
    <row r="741" spans="1:2" x14ac:dyDescent="0.2">
      <c r="A741" t="s">
        <v>793</v>
      </c>
      <c r="B741" s="8" t="str">
        <f t="shared" si="11"/>
        <v>2024-04-10 13:57:00</v>
      </c>
    </row>
    <row r="742" spans="1:2" x14ac:dyDescent="0.2">
      <c r="A742" t="s">
        <v>794</v>
      </c>
      <c r="B742" s="8" t="str">
        <f t="shared" si="11"/>
        <v>2024-04-02 22:26:00</v>
      </c>
    </row>
    <row r="743" spans="1:2" x14ac:dyDescent="0.2">
      <c r="A743" t="s">
        <v>795</v>
      </c>
      <c r="B743" s="8" t="str">
        <f t="shared" si="11"/>
        <v>2024-04-26 07:03:00</v>
      </c>
    </row>
    <row r="744" spans="1:2" x14ac:dyDescent="0.2">
      <c r="A744" t="s">
        <v>796</v>
      </c>
      <c r="B744" s="8" t="str">
        <f t="shared" si="11"/>
        <v>2024-04-02 18:06:00</v>
      </c>
    </row>
    <row r="745" spans="1:2" x14ac:dyDescent="0.2">
      <c r="A745" t="s">
        <v>797</v>
      </c>
      <c r="B745" s="8" t="str">
        <f t="shared" si="11"/>
        <v>2024-05-11 20:46:00</v>
      </c>
    </row>
    <row r="746" spans="1:2" x14ac:dyDescent="0.2">
      <c r="A746" t="s">
        <v>798</v>
      </c>
      <c r="B746" s="8" t="str">
        <f t="shared" si="11"/>
        <v>2024-02-01 18:28:00</v>
      </c>
    </row>
    <row r="747" spans="1:2" x14ac:dyDescent="0.2">
      <c r="A747" t="s">
        <v>799</v>
      </c>
      <c r="B747" s="8" t="str">
        <f t="shared" si="11"/>
        <v>2024-05-05 08:34:00</v>
      </c>
    </row>
    <row r="748" spans="1:2" x14ac:dyDescent="0.2">
      <c r="A748" t="s">
        <v>800</v>
      </c>
      <c r="B748" s="8" t="str">
        <f t="shared" si="11"/>
        <v>2024-04-03 03:33:00</v>
      </c>
    </row>
    <row r="749" spans="1:2" x14ac:dyDescent="0.2">
      <c r="A749" t="s">
        <v>801</v>
      </c>
      <c r="B749" s="8" t="str">
        <f t="shared" si="11"/>
        <v>2024-02-21 13:32:00</v>
      </c>
    </row>
    <row r="750" spans="1:2" x14ac:dyDescent="0.2">
      <c r="A750" t="s">
        <v>802</v>
      </c>
      <c r="B750" s="8" t="str">
        <f t="shared" si="11"/>
        <v>2024-03-25 16:22:00</v>
      </c>
    </row>
    <row r="751" spans="1:2" x14ac:dyDescent="0.2">
      <c r="A751" t="s">
        <v>803</v>
      </c>
      <c r="B751" s="8" t="str">
        <f t="shared" si="11"/>
        <v>2024-04-20 16:49:00</v>
      </c>
    </row>
    <row r="752" spans="1:2" x14ac:dyDescent="0.2">
      <c r="A752" t="s">
        <v>804</v>
      </c>
      <c r="B752" s="8" t="str">
        <f t="shared" si="11"/>
        <v>2024-03-03 20:50:00</v>
      </c>
    </row>
    <row r="753" spans="1:2" x14ac:dyDescent="0.2">
      <c r="A753" t="s">
        <v>805</v>
      </c>
      <c r="B753" s="8" t="str">
        <f t="shared" si="11"/>
        <v>2024-05-11 22:47:00</v>
      </c>
    </row>
    <row r="754" spans="1:2" x14ac:dyDescent="0.2">
      <c r="A754" t="s">
        <v>806</v>
      </c>
      <c r="B754" s="8" t="str">
        <f t="shared" si="11"/>
        <v>2024-04-16 13:51:00</v>
      </c>
    </row>
    <row r="755" spans="1:2" x14ac:dyDescent="0.2">
      <c r="A755" t="s">
        <v>807</v>
      </c>
      <c r="B755" s="8" t="str">
        <f t="shared" si="11"/>
        <v>2024-02-13 01:01:00</v>
      </c>
    </row>
    <row r="756" spans="1:2" x14ac:dyDescent="0.2">
      <c r="A756" t="s">
        <v>808</v>
      </c>
      <c r="B756" s="8" t="str">
        <f t="shared" si="11"/>
        <v>2024-04-28 07:09:00</v>
      </c>
    </row>
    <row r="757" spans="1:2" x14ac:dyDescent="0.2">
      <c r="A757" t="s">
        <v>809</v>
      </c>
      <c r="B757" s="8" t="str">
        <f t="shared" si="11"/>
        <v>2024-05-14 10:52:00</v>
      </c>
    </row>
    <row r="758" spans="1:2" x14ac:dyDescent="0.2">
      <c r="A758" t="s">
        <v>810</v>
      </c>
      <c r="B758" s="8" t="str">
        <f t="shared" si="11"/>
        <v>2024-03-02 04:15:00</v>
      </c>
    </row>
    <row r="759" spans="1:2" x14ac:dyDescent="0.2">
      <c r="A759" t="s">
        <v>811</v>
      </c>
      <c r="B759" s="8" t="str">
        <f t="shared" si="11"/>
        <v>2024-05-29 14:16:00</v>
      </c>
    </row>
    <row r="760" spans="1:2" x14ac:dyDescent="0.2">
      <c r="A760" t="s">
        <v>812</v>
      </c>
      <c r="B760" s="8" t="str">
        <f t="shared" si="11"/>
        <v>2024-02-24 08:42:00</v>
      </c>
    </row>
    <row r="761" spans="1:2" x14ac:dyDescent="0.2">
      <c r="A761" t="s">
        <v>813</v>
      </c>
      <c r="B761" s="8" t="str">
        <f t="shared" si="11"/>
        <v>2024-02-23 15:24:00</v>
      </c>
    </row>
    <row r="762" spans="1:2" x14ac:dyDescent="0.2">
      <c r="A762" t="s">
        <v>814</v>
      </c>
      <c r="B762" s="8" t="str">
        <f t="shared" si="11"/>
        <v>2024-05-29 09:00:00</v>
      </c>
    </row>
    <row r="763" spans="1:2" x14ac:dyDescent="0.2">
      <c r="A763" t="s">
        <v>815</v>
      </c>
      <c r="B763" s="8" t="str">
        <f t="shared" si="11"/>
        <v>2024-01-09 02:15:00</v>
      </c>
    </row>
    <row r="764" spans="1:2" x14ac:dyDescent="0.2">
      <c r="A764" t="s">
        <v>816</v>
      </c>
      <c r="B764" s="8" t="str">
        <f t="shared" si="11"/>
        <v>2024-05-25 14:52:00</v>
      </c>
    </row>
    <row r="765" spans="1:2" x14ac:dyDescent="0.2">
      <c r="A765" t="s">
        <v>817</v>
      </c>
      <c r="B765" s="8" t="str">
        <f t="shared" si="11"/>
        <v>2024-05-20 01:49:00</v>
      </c>
    </row>
    <row r="766" spans="1:2" x14ac:dyDescent="0.2">
      <c r="A766" t="s">
        <v>818</v>
      </c>
      <c r="B766" s="8" t="str">
        <f t="shared" si="11"/>
        <v>2024-04-23 19:44:00</v>
      </c>
    </row>
    <row r="767" spans="1:2" x14ac:dyDescent="0.2">
      <c r="A767" t="s">
        <v>819</v>
      </c>
      <c r="B767" s="8" t="str">
        <f t="shared" si="11"/>
        <v>2024-05-17 16:35:00</v>
      </c>
    </row>
    <row r="768" spans="1:2" x14ac:dyDescent="0.2">
      <c r="A768" t="s">
        <v>820</v>
      </c>
      <c r="B768" s="8" t="str">
        <f t="shared" si="11"/>
        <v>2024-03-06 19:30:00</v>
      </c>
    </row>
    <row r="769" spans="1:2" x14ac:dyDescent="0.2">
      <c r="A769" t="s">
        <v>821</v>
      </c>
      <c r="B769" s="8" t="str">
        <f t="shared" si="11"/>
        <v>2024-02-04 06:45:00</v>
      </c>
    </row>
    <row r="770" spans="1:2" x14ac:dyDescent="0.2">
      <c r="A770" t="s">
        <v>822</v>
      </c>
      <c r="B770" s="8" t="str">
        <f t="shared" si="11"/>
        <v>2024-01-10 01:27:00</v>
      </c>
    </row>
    <row r="771" spans="1:2" x14ac:dyDescent="0.2">
      <c r="A771" t="s">
        <v>823</v>
      </c>
      <c r="B771" s="8" t="str">
        <f t="shared" ref="B771:C834" si="12">RIGHT(A771,19)</f>
        <v>2024-01-22 15:10:00</v>
      </c>
    </row>
    <row r="772" spans="1:2" x14ac:dyDescent="0.2">
      <c r="A772" t="s">
        <v>824</v>
      </c>
      <c r="B772" s="8" t="str">
        <f t="shared" si="12"/>
        <v>2024-03-29 08:06:00</v>
      </c>
    </row>
    <row r="773" spans="1:2" x14ac:dyDescent="0.2">
      <c r="A773" t="s">
        <v>825</v>
      </c>
      <c r="B773" s="8" t="str">
        <f t="shared" si="12"/>
        <v>2024-02-28 11:10:00</v>
      </c>
    </row>
    <row r="774" spans="1:2" x14ac:dyDescent="0.2">
      <c r="A774" t="s">
        <v>826</v>
      </c>
      <c r="B774" s="8" t="str">
        <f t="shared" si="12"/>
        <v>2024-03-08 16:02:00</v>
      </c>
    </row>
    <row r="775" spans="1:2" x14ac:dyDescent="0.2">
      <c r="A775" t="s">
        <v>827</v>
      </c>
      <c r="B775" s="8" t="str">
        <f t="shared" si="12"/>
        <v>2024-01-14 21:14:00</v>
      </c>
    </row>
    <row r="776" spans="1:2" x14ac:dyDescent="0.2">
      <c r="A776" t="s">
        <v>828</v>
      </c>
      <c r="B776" s="8" t="str">
        <f t="shared" si="12"/>
        <v>2024-04-21 16:38:00</v>
      </c>
    </row>
    <row r="777" spans="1:2" x14ac:dyDescent="0.2">
      <c r="A777" t="s">
        <v>829</v>
      </c>
      <c r="B777" s="8" t="str">
        <f t="shared" si="12"/>
        <v>2024-05-26 16:00:00</v>
      </c>
    </row>
    <row r="778" spans="1:2" x14ac:dyDescent="0.2">
      <c r="A778" t="s">
        <v>830</v>
      </c>
      <c r="B778" s="8" t="str">
        <f t="shared" si="12"/>
        <v>2024-03-01 15:57:00</v>
      </c>
    </row>
    <row r="779" spans="1:2" x14ac:dyDescent="0.2">
      <c r="A779" t="s">
        <v>831</v>
      </c>
      <c r="B779" s="8" t="str">
        <f t="shared" si="12"/>
        <v>2024-03-13 00:20:00</v>
      </c>
    </row>
    <row r="780" spans="1:2" x14ac:dyDescent="0.2">
      <c r="A780" t="s">
        <v>832</v>
      </c>
      <c r="B780" s="8" t="str">
        <f t="shared" si="12"/>
        <v>2024-04-26 12:38:00</v>
      </c>
    </row>
    <row r="781" spans="1:2" x14ac:dyDescent="0.2">
      <c r="A781" t="s">
        <v>833</v>
      </c>
      <c r="B781" s="8" t="str">
        <f t="shared" si="12"/>
        <v>2024-02-04 12:00:00</v>
      </c>
    </row>
    <row r="782" spans="1:2" x14ac:dyDescent="0.2">
      <c r="A782" t="s">
        <v>834</v>
      </c>
      <c r="B782" s="8" t="str">
        <f t="shared" si="12"/>
        <v>2024-04-25 08:39:00</v>
      </c>
    </row>
    <row r="783" spans="1:2" x14ac:dyDescent="0.2">
      <c r="A783" t="s">
        <v>835</v>
      </c>
      <c r="B783" s="8" t="str">
        <f t="shared" si="12"/>
        <v>2024-03-14 04:51:00</v>
      </c>
    </row>
    <row r="784" spans="1:2" x14ac:dyDescent="0.2">
      <c r="A784" t="s">
        <v>836</v>
      </c>
      <c r="B784" s="8" t="str">
        <f t="shared" si="12"/>
        <v>2024-01-23 12:08:00</v>
      </c>
    </row>
    <row r="785" spans="1:2" x14ac:dyDescent="0.2">
      <c r="A785" t="s">
        <v>837</v>
      </c>
      <c r="B785" s="8" t="str">
        <f t="shared" si="12"/>
        <v>2024-03-30 09:00:00</v>
      </c>
    </row>
    <row r="786" spans="1:2" x14ac:dyDescent="0.2">
      <c r="A786" t="s">
        <v>838</v>
      </c>
      <c r="B786" s="8" t="str">
        <f t="shared" si="12"/>
        <v>2024-01-11 05:07:00</v>
      </c>
    </row>
    <row r="787" spans="1:2" x14ac:dyDescent="0.2">
      <c r="A787" t="s">
        <v>839</v>
      </c>
      <c r="B787" s="8" t="str">
        <f t="shared" si="12"/>
        <v>2024-03-22 22:15:00</v>
      </c>
    </row>
    <row r="788" spans="1:2" x14ac:dyDescent="0.2">
      <c r="A788" t="s">
        <v>840</v>
      </c>
      <c r="B788" s="8" t="str">
        <f t="shared" si="12"/>
        <v>2024-02-14 09:00:00</v>
      </c>
    </row>
    <row r="789" spans="1:2" x14ac:dyDescent="0.2">
      <c r="A789" t="s">
        <v>841</v>
      </c>
      <c r="B789" s="8" t="str">
        <f t="shared" si="12"/>
        <v>2024-01-13 07:18:00</v>
      </c>
    </row>
    <row r="790" spans="1:2" x14ac:dyDescent="0.2">
      <c r="A790" t="s">
        <v>842</v>
      </c>
      <c r="B790" s="8" t="str">
        <f t="shared" si="12"/>
        <v>2024-02-27 23:01:00</v>
      </c>
    </row>
    <row r="791" spans="1:2" x14ac:dyDescent="0.2">
      <c r="A791" t="s">
        <v>843</v>
      </c>
      <c r="B791" s="8" t="str">
        <f t="shared" si="12"/>
        <v>2024-01-01 03:09:00</v>
      </c>
    </row>
    <row r="792" spans="1:2" x14ac:dyDescent="0.2">
      <c r="A792" t="s">
        <v>844</v>
      </c>
      <c r="B792" s="8" t="str">
        <f t="shared" si="12"/>
        <v>2024-05-08 12:30:00</v>
      </c>
    </row>
    <row r="793" spans="1:2" x14ac:dyDescent="0.2">
      <c r="A793" t="s">
        <v>845</v>
      </c>
      <c r="B793" s="8" t="str">
        <f t="shared" si="12"/>
        <v>2024-05-01 15:50:00</v>
      </c>
    </row>
    <row r="794" spans="1:2" x14ac:dyDescent="0.2">
      <c r="A794" t="s">
        <v>846</v>
      </c>
      <c r="B794" s="8" t="str">
        <f t="shared" si="12"/>
        <v>2024-05-19 08:17:00</v>
      </c>
    </row>
    <row r="795" spans="1:2" x14ac:dyDescent="0.2">
      <c r="A795" t="s">
        <v>847</v>
      </c>
      <c r="B795" s="8" t="str">
        <f t="shared" si="12"/>
        <v>2024-05-01 22:48:00</v>
      </c>
    </row>
    <row r="796" spans="1:2" x14ac:dyDescent="0.2">
      <c r="A796" t="s">
        <v>848</v>
      </c>
      <c r="B796" s="8" t="str">
        <f t="shared" si="12"/>
        <v>2024-03-08 06:03:00</v>
      </c>
    </row>
    <row r="797" spans="1:2" x14ac:dyDescent="0.2">
      <c r="A797" t="s">
        <v>849</v>
      </c>
      <c r="B797" s="8" t="str">
        <f t="shared" si="12"/>
        <v>2024-02-09 06:00:00</v>
      </c>
    </row>
    <row r="798" spans="1:2" x14ac:dyDescent="0.2">
      <c r="A798" t="s">
        <v>850</v>
      </c>
      <c r="B798" s="8" t="str">
        <f t="shared" si="12"/>
        <v>2024-01-16 02:20:00</v>
      </c>
    </row>
    <row r="799" spans="1:2" x14ac:dyDescent="0.2">
      <c r="A799" t="s">
        <v>851</v>
      </c>
      <c r="B799" s="8" t="str">
        <f t="shared" si="12"/>
        <v>2024-03-30 07:03:00</v>
      </c>
    </row>
    <row r="800" spans="1:2" x14ac:dyDescent="0.2">
      <c r="A800" t="s">
        <v>852</v>
      </c>
      <c r="B800" s="8" t="str">
        <f t="shared" si="12"/>
        <v>2024-03-03 22:23:00</v>
      </c>
    </row>
    <row r="801" spans="1:2" x14ac:dyDescent="0.2">
      <c r="A801" t="s">
        <v>853</v>
      </c>
      <c r="B801" s="8" t="str">
        <f t="shared" si="12"/>
        <v>2024-01-18 12:03:00</v>
      </c>
    </row>
    <row r="802" spans="1:2" x14ac:dyDescent="0.2">
      <c r="A802" t="s">
        <v>854</v>
      </c>
      <c r="B802" s="8" t="str">
        <f t="shared" si="12"/>
        <v>2024-01-03 17:14:00</v>
      </c>
    </row>
    <row r="803" spans="1:2" x14ac:dyDescent="0.2">
      <c r="A803" t="s">
        <v>855</v>
      </c>
      <c r="B803" s="8" t="str">
        <f t="shared" si="12"/>
        <v>2024-04-30 07:18:00</v>
      </c>
    </row>
    <row r="804" spans="1:2" x14ac:dyDescent="0.2">
      <c r="A804" t="s">
        <v>856</v>
      </c>
      <c r="B804" s="8" t="str">
        <f t="shared" si="12"/>
        <v>2024-03-01 04:07:00</v>
      </c>
    </row>
    <row r="805" spans="1:2" x14ac:dyDescent="0.2">
      <c r="A805" t="s">
        <v>857</v>
      </c>
      <c r="B805" s="8" t="str">
        <f t="shared" si="12"/>
        <v>2024-01-20 15:53:00</v>
      </c>
    </row>
    <row r="806" spans="1:2" x14ac:dyDescent="0.2">
      <c r="A806" t="s">
        <v>858</v>
      </c>
      <c r="B806" s="8" t="str">
        <f t="shared" si="12"/>
        <v>2024-01-03 11:05:00</v>
      </c>
    </row>
    <row r="807" spans="1:2" x14ac:dyDescent="0.2">
      <c r="A807" t="s">
        <v>859</v>
      </c>
      <c r="B807" s="8" t="str">
        <f t="shared" si="12"/>
        <v>2024-05-21 08:39:00</v>
      </c>
    </row>
    <row r="808" spans="1:2" x14ac:dyDescent="0.2">
      <c r="A808" t="s">
        <v>860</v>
      </c>
      <c r="B808" s="8" t="str">
        <f t="shared" si="12"/>
        <v>2024-05-13 23:01:00</v>
      </c>
    </row>
    <row r="809" spans="1:2" x14ac:dyDescent="0.2">
      <c r="A809" t="s">
        <v>861</v>
      </c>
      <c r="B809" s="8" t="str">
        <f t="shared" si="12"/>
        <v>2024-02-13 08:59:00</v>
      </c>
    </row>
    <row r="810" spans="1:2" x14ac:dyDescent="0.2">
      <c r="A810" t="s">
        <v>862</v>
      </c>
      <c r="B810" s="8" t="str">
        <f t="shared" si="12"/>
        <v>2024-04-21 19:48:00</v>
      </c>
    </row>
    <row r="811" spans="1:2" x14ac:dyDescent="0.2">
      <c r="A811" t="s">
        <v>863</v>
      </c>
      <c r="B811" s="8" t="str">
        <f t="shared" si="12"/>
        <v>2024-04-23 00:39:00</v>
      </c>
    </row>
    <row r="812" spans="1:2" x14ac:dyDescent="0.2">
      <c r="A812" t="s">
        <v>864</v>
      </c>
      <c r="B812" s="8" t="str">
        <f t="shared" si="12"/>
        <v>2024-01-30 11:28:00</v>
      </c>
    </row>
    <row r="813" spans="1:2" x14ac:dyDescent="0.2">
      <c r="A813" t="s">
        <v>865</v>
      </c>
      <c r="B813" s="8" t="str">
        <f t="shared" si="12"/>
        <v>2024-03-26 03:24:00</v>
      </c>
    </row>
    <row r="814" spans="1:2" x14ac:dyDescent="0.2">
      <c r="A814" t="s">
        <v>866</v>
      </c>
      <c r="B814" s="8" t="str">
        <f t="shared" si="12"/>
        <v>2024-01-26 19:49:00</v>
      </c>
    </row>
    <row r="815" spans="1:2" x14ac:dyDescent="0.2">
      <c r="A815" t="s">
        <v>867</v>
      </c>
      <c r="B815" s="8" t="str">
        <f t="shared" si="12"/>
        <v>2024-01-19 20:46:00</v>
      </c>
    </row>
    <row r="816" spans="1:2" x14ac:dyDescent="0.2">
      <c r="A816" t="s">
        <v>868</v>
      </c>
      <c r="B816" s="8" t="str">
        <f t="shared" si="12"/>
        <v>2024-03-29 15:46:00</v>
      </c>
    </row>
    <row r="817" spans="1:2" x14ac:dyDescent="0.2">
      <c r="A817" t="s">
        <v>869</v>
      </c>
      <c r="B817" s="8" t="str">
        <f t="shared" si="12"/>
        <v>2024-02-15 00:58:00</v>
      </c>
    </row>
    <row r="818" spans="1:2" x14ac:dyDescent="0.2">
      <c r="A818" t="s">
        <v>870</v>
      </c>
      <c r="B818" s="8" t="str">
        <f t="shared" si="12"/>
        <v>2024-02-09 09:17:00</v>
      </c>
    </row>
    <row r="819" spans="1:2" x14ac:dyDescent="0.2">
      <c r="A819" t="s">
        <v>871</v>
      </c>
      <c r="B819" s="8" t="str">
        <f t="shared" si="12"/>
        <v>2024-03-04 15:46:00</v>
      </c>
    </row>
    <row r="820" spans="1:2" x14ac:dyDescent="0.2">
      <c r="A820" t="s">
        <v>872</v>
      </c>
      <c r="B820" s="8" t="str">
        <f t="shared" si="12"/>
        <v>2024-01-13 06:14:00</v>
      </c>
    </row>
    <row r="821" spans="1:2" x14ac:dyDescent="0.2">
      <c r="A821" t="s">
        <v>873</v>
      </c>
      <c r="B821" s="8" t="str">
        <f t="shared" si="12"/>
        <v>2024-02-09 10:06:00</v>
      </c>
    </row>
    <row r="822" spans="1:2" x14ac:dyDescent="0.2">
      <c r="A822" t="s">
        <v>874</v>
      </c>
      <c r="B822" s="8" t="str">
        <f t="shared" si="12"/>
        <v>2024-02-10 15:44:00</v>
      </c>
    </row>
    <row r="823" spans="1:2" x14ac:dyDescent="0.2">
      <c r="A823" t="s">
        <v>875</v>
      </c>
      <c r="B823" s="8" t="str">
        <f t="shared" si="12"/>
        <v>2024-03-18 12:34:00</v>
      </c>
    </row>
    <row r="824" spans="1:2" x14ac:dyDescent="0.2">
      <c r="A824" t="s">
        <v>876</v>
      </c>
      <c r="B824" s="8" t="str">
        <f t="shared" si="12"/>
        <v>2024-03-05 15:40:00</v>
      </c>
    </row>
    <row r="825" spans="1:2" x14ac:dyDescent="0.2">
      <c r="A825" t="s">
        <v>877</v>
      </c>
      <c r="B825" s="8" t="str">
        <f t="shared" si="12"/>
        <v>2024-03-14 06:54:00</v>
      </c>
    </row>
    <row r="826" spans="1:2" x14ac:dyDescent="0.2">
      <c r="A826" t="s">
        <v>878</v>
      </c>
      <c r="B826" s="8" t="str">
        <f t="shared" si="12"/>
        <v>2024-05-07 22:56:00</v>
      </c>
    </row>
    <row r="827" spans="1:2" x14ac:dyDescent="0.2">
      <c r="A827" t="s">
        <v>879</v>
      </c>
      <c r="B827" s="8" t="str">
        <f t="shared" si="12"/>
        <v>2024-04-03 14:09:00</v>
      </c>
    </row>
    <row r="828" spans="1:2" x14ac:dyDescent="0.2">
      <c r="A828" t="s">
        <v>880</v>
      </c>
      <c r="B828" s="8" t="str">
        <f t="shared" si="12"/>
        <v>2024-05-16 16:42:00</v>
      </c>
    </row>
    <row r="829" spans="1:2" x14ac:dyDescent="0.2">
      <c r="A829" t="s">
        <v>881</v>
      </c>
      <c r="B829" s="8" t="str">
        <f t="shared" si="12"/>
        <v>2024-02-01 11:57:00</v>
      </c>
    </row>
    <row r="830" spans="1:2" x14ac:dyDescent="0.2">
      <c r="A830" t="s">
        <v>882</v>
      </c>
      <c r="B830" s="8" t="str">
        <f t="shared" si="12"/>
        <v>2024-04-21 09:49:00</v>
      </c>
    </row>
    <row r="831" spans="1:2" x14ac:dyDescent="0.2">
      <c r="A831" t="s">
        <v>883</v>
      </c>
      <c r="B831" s="8" t="str">
        <f t="shared" si="12"/>
        <v>2024-02-29 09:02:00</v>
      </c>
    </row>
    <row r="832" spans="1:2" x14ac:dyDescent="0.2">
      <c r="A832" t="s">
        <v>884</v>
      </c>
      <c r="B832" s="8" t="str">
        <f t="shared" si="12"/>
        <v>2024-03-10 17:24:00</v>
      </c>
    </row>
    <row r="833" spans="1:2" x14ac:dyDescent="0.2">
      <c r="A833" t="s">
        <v>885</v>
      </c>
      <c r="B833" s="8" t="str">
        <f t="shared" si="12"/>
        <v>2024-03-14 18:36:00</v>
      </c>
    </row>
    <row r="834" spans="1:2" x14ac:dyDescent="0.2">
      <c r="A834" t="s">
        <v>886</v>
      </c>
      <c r="B834" s="8" t="str">
        <f t="shared" si="12"/>
        <v>2024-02-01 14:57:00</v>
      </c>
    </row>
    <row r="835" spans="1:2" x14ac:dyDescent="0.2">
      <c r="A835" t="s">
        <v>887</v>
      </c>
      <c r="B835" s="8" t="str">
        <f t="shared" ref="B835:C898" si="13">RIGHT(A835,19)</f>
        <v>2024-01-31 03:38:00</v>
      </c>
    </row>
    <row r="836" spans="1:2" x14ac:dyDescent="0.2">
      <c r="A836" t="s">
        <v>888</v>
      </c>
      <c r="B836" s="8" t="str">
        <f t="shared" si="13"/>
        <v>2024-03-15 09:49:00</v>
      </c>
    </row>
    <row r="837" spans="1:2" x14ac:dyDescent="0.2">
      <c r="A837" t="s">
        <v>889</v>
      </c>
      <c r="B837" s="8" t="str">
        <f t="shared" si="13"/>
        <v>2024-02-13 07:31:00</v>
      </c>
    </row>
    <row r="838" spans="1:2" x14ac:dyDescent="0.2">
      <c r="A838" t="s">
        <v>890</v>
      </c>
      <c r="B838" s="8" t="str">
        <f t="shared" si="13"/>
        <v>2024-04-21 03:18:00</v>
      </c>
    </row>
    <row r="839" spans="1:2" x14ac:dyDescent="0.2">
      <c r="A839" t="s">
        <v>891</v>
      </c>
      <c r="B839" s="8" t="str">
        <f t="shared" si="13"/>
        <v>2024-04-19 01:05:00</v>
      </c>
    </row>
    <row r="840" spans="1:2" x14ac:dyDescent="0.2">
      <c r="A840" t="s">
        <v>892</v>
      </c>
      <c r="B840" s="8" t="str">
        <f t="shared" si="13"/>
        <v>2024-03-12 07:26:00</v>
      </c>
    </row>
    <row r="841" spans="1:2" x14ac:dyDescent="0.2">
      <c r="A841" t="s">
        <v>893</v>
      </c>
      <c r="B841" s="8" t="str">
        <f t="shared" si="13"/>
        <v>2024-01-23 06:07:00</v>
      </c>
    </row>
    <row r="842" spans="1:2" x14ac:dyDescent="0.2">
      <c r="A842" t="s">
        <v>894</v>
      </c>
      <c r="B842" s="8" t="str">
        <f t="shared" si="13"/>
        <v>2024-01-14 15:34:00</v>
      </c>
    </row>
    <row r="843" spans="1:2" x14ac:dyDescent="0.2">
      <c r="A843" t="s">
        <v>895</v>
      </c>
      <c r="B843" s="8" t="str">
        <f t="shared" si="13"/>
        <v>2024-03-25 10:12:00</v>
      </c>
    </row>
    <row r="844" spans="1:2" x14ac:dyDescent="0.2">
      <c r="A844" t="s">
        <v>896</v>
      </c>
      <c r="B844" s="8" t="str">
        <f t="shared" si="13"/>
        <v>2024-03-24 10:42:00</v>
      </c>
    </row>
    <row r="845" spans="1:2" x14ac:dyDescent="0.2">
      <c r="A845" t="s">
        <v>897</v>
      </c>
      <c r="B845" s="8" t="str">
        <f t="shared" si="13"/>
        <v>2024-05-30 21:52:00</v>
      </c>
    </row>
    <row r="846" spans="1:2" x14ac:dyDescent="0.2">
      <c r="A846" t="s">
        <v>898</v>
      </c>
      <c r="B846" s="8" t="str">
        <f t="shared" si="13"/>
        <v>2024-05-13 00:09:00</v>
      </c>
    </row>
    <row r="847" spans="1:2" x14ac:dyDescent="0.2">
      <c r="A847" t="s">
        <v>899</v>
      </c>
      <c r="B847" s="8" t="str">
        <f t="shared" si="13"/>
        <v>2024-02-12 11:11:00</v>
      </c>
    </row>
    <row r="848" spans="1:2" x14ac:dyDescent="0.2">
      <c r="A848" t="s">
        <v>900</v>
      </c>
      <c r="B848" s="8" t="str">
        <f t="shared" si="13"/>
        <v>2024-02-01 06:39:00</v>
      </c>
    </row>
    <row r="849" spans="1:2" x14ac:dyDescent="0.2">
      <c r="A849" t="s">
        <v>901</v>
      </c>
      <c r="B849" s="8" t="str">
        <f t="shared" si="13"/>
        <v>2024-05-24 01:15:00</v>
      </c>
    </row>
    <row r="850" spans="1:2" x14ac:dyDescent="0.2">
      <c r="A850" t="s">
        <v>902</v>
      </c>
      <c r="B850" s="8" t="str">
        <f t="shared" si="13"/>
        <v>2024-02-18 06:17:00</v>
      </c>
    </row>
    <row r="851" spans="1:2" x14ac:dyDescent="0.2">
      <c r="A851" t="s">
        <v>903</v>
      </c>
      <c r="B851" s="8" t="str">
        <f t="shared" si="13"/>
        <v>2024-01-27 12:18:00</v>
      </c>
    </row>
    <row r="852" spans="1:2" x14ac:dyDescent="0.2">
      <c r="A852" t="s">
        <v>904</v>
      </c>
      <c r="B852" s="8" t="str">
        <f t="shared" si="13"/>
        <v>2024-05-12 05:23:00</v>
      </c>
    </row>
    <row r="853" spans="1:2" x14ac:dyDescent="0.2">
      <c r="A853" t="s">
        <v>905</v>
      </c>
      <c r="B853" s="8" t="str">
        <f t="shared" si="13"/>
        <v>2024-02-05 04:27:00</v>
      </c>
    </row>
    <row r="854" spans="1:2" x14ac:dyDescent="0.2">
      <c r="A854" t="s">
        <v>906</v>
      </c>
      <c r="B854" s="8" t="str">
        <f t="shared" si="13"/>
        <v>2024-05-15 16:17:00</v>
      </c>
    </row>
    <row r="855" spans="1:2" x14ac:dyDescent="0.2">
      <c r="A855" t="s">
        <v>907</v>
      </c>
      <c r="B855" s="8" t="str">
        <f t="shared" si="13"/>
        <v>2024-03-25 02:55:00</v>
      </c>
    </row>
    <row r="856" spans="1:2" x14ac:dyDescent="0.2">
      <c r="A856" t="s">
        <v>908</v>
      </c>
      <c r="B856" s="8" t="str">
        <f t="shared" si="13"/>
        <v>2024-03-30 12:41:00</v>
      </c>
    </row>
    <row r="857" spans="1:2" x14ac:dyDescent="0.2">
      <c r="A857" t="s">
        <v>909</v>
      </c>
      <c r="B857" s="8" t="str">
        <f t="shared" si="13"/>
        <v>2024-04-26 20:29:00</v>
      </c>
    </row>
    <row r="858" spans="1:2" x14ac:dyDescent="0.2">
      <c r="A858" t="s">
        <v>910</v>
      </c>
      <c r="B858" s="8" t="str">
        <f t="shared" si="13"/>
        <v>2024-04-05 09:35:00</v>
      </c>
    </row>
    <row r="859" spans="1:2" x14ac:dyDescent="0.2">
      <c r="A859" t="s">
        <v>911</v>
      </c>
      <c r="B859" s="8" t="str">
        <f t="shared" si="13"/>
        <v>2024-03-17 20:07:00</v>
      </c>
    </row>
    <row r="860" spans="1:2" x14ac:dyDescent="0.2">
      <c r="A860" t="s">
        <v>912</v>
      </c>
      <c r="B860" s="8" t="str">
        <f t="shared" si="13"/>
        <v>2024-04-05 18:29:00</v>
      </c>
    </row>
    <row r="861" spans="1:2" x14ac:dyDescent="0.2">
      <c r="A861" t="s">
        <v>913</v>
      </c>
      <c r="B861" s="8" t="str">
        <f t="shared" si="13"/>
        <v>2024-04-19 07:26:00</v>
      </c>
    </row>
    <row r="862" spans="1:2" x14ac:dyDescent="0.2">
      <c r="A862" t="s">
        <v>914</v>
      </c>
      <c r="B862" s="8" t="str">
        <f t="shared" si="13"/>
        <v>2024-04-07 16:13:00</v>
      </c>
    </row>
    <row r="863" spans="1:2" x14ac:dyDescent="0.2">
      <c r="A863" t="s">
        <v>915</v>
      </c>
      <c r="B863" s="8" t="str">
        <f t="shared" si="13"/>
        <v>2024-04-01 00:15:00</v>
      </c>
    </row>
    <row r="864" spans="1:2" x14ac:dyDescent="0.2">
      <c r="A864" t="s">
        <v>916</v>
      </c>
      <c r="B864" s="8" t="str">
        <f t="shared" si="13"/>
        <v>2024-02-16 22:08:00</v>
      </c>
    </row>
    <row r="865" spans="1:2" x14ac:dyDescent="0.2">
      <c r="A865" t="s">
        <v>917</v>
      </c>
      <c r="B865" s="8" t="str">
        <f t="shared" si="13"/>
        <v>2024-05-30 02:23:00</v>
      </c>
    </row>
    <row r="866" spans="1:2" x14ac:dyDescent="0.2">
      <c r="A866" t="s">
        <v>918</v>
      </c>
      <c r="B866" s="8" t="str">
        <f t="shared" si="13"/>
        <v>2024-05-21 04:07:00</v>
      </c>
    </row>
    <row r="867" spans="1:2" x14ac:dyDescent="0.2">
      <c r="A867" t="s">
        <v>919</v>
      </c>
      <c r="B867" s="8" t="str">
        <f t="shared" si="13"/>
        <v>2024-05-29 23:35:00</v>
      </c>
    </row>
    <row r="868" spans="1:2" x14ac:dyDescent="0.2">
      <c r="A868" t="s">
        <v>920</v>
      </c>
      <c r="B868" s="8" t="str">
        <f t="shared" si="13"/>
        <v>2024-02-18 09:23:00</v>
      </c>
    </row>
    <row r="869" spans="1:2" x14ac:dyDescent="0.2">
      <c r="A869" t="s">
        <v>921</v>
      </c>
      <c r="B869" s="8" t="str">
        <f t="shared" si="13"/>
        <v>2024-04-18 20:21:00</v>
      </c>
    </row>
    <row r="870" spans="1:2" x14ac:dyDescent="0.2">
      <c r="A870" t="s">
        <v>922</v>
      </c>
      <c r="B870" s="8" t="str">
        <f t="shared" si="13"/>
        <v>2024-01-25 16:44:00</v>
      </c>
    </row>
    <row r="871" spans="1:2" x14ac:dyDescent="0.2">
      <c r="A871" t="s">
        <v>923</v>
      </c>
      <c r="B871" s="8" t="str">
        <f t="shared" si="13"/>
        <v>2024-04-17 04:16:00</v>
      </c>
    </row>
    <row r="872" spans="1:2" x14ac:dyDescent="0.2">
      <c r="A872" t="s">
        <v>924</v>
      </c>
      <c r="B872" s="8" t="str">
        <f t="shared" si="13"/>
        <v>2024-04-01 01:02:00</v>
      </c>
    </row>
    <row r="873" spans="1:2" x14ac:dyDescent="0.2">
      <c r="A873" t="s">
        <v>925</v>
      </c>
      <c r="B873" s="8" t="str">
        <f t="shared" si="13"/>
        <v>2024-02-03 06:58:00</v>
      </c>
    </row>
    <row r="874" spans="1:2" x14ac:dyDescent="0.2">
      <c r="A874" t="s">
        <v>926</v>
      </c>
      <c r="B874" s="8" t="str">
        <f t="shared" si="13"/>
        <v>2024-04-12 12:45:00</v>
      </c>
    </row>
    <row r="875" spans="1:2" x14ac:dyDescent="0.2">
      <c r="A875" t="s">
        <v>927</v>
      </c>
      <c r="B875" s="8" t="str">
        <f t="shared" si="13"/>
        <v>2024-03-22 03:55:00</v>
      </c>
    </row>
    <row r="876" spans="1:2" x14ac:dyDescent="0.2">
      <c r="A876" t="s">
        <v>928</v>
      </c>
      <c r="B876" s="8" t="str">
        <f t="shared" si="13"/>
        <v>2024-01-23 22:49:00</v>
      </c>
    </row>
    <row r="877" spans="1:2" x14ac:dyDescent="0.2">
      <c r="A877" t="s">
        <v>929</v>
      </c>
      <c r="B877" s="8" t="str">
        <f t="shared" si="13"/>
        <v>2024-05-30 02:38:00</v>
      </c>
    </row>
    <row r="878" spans="1:2" x14ac:dyDescent="0.2">
      <c r="A878" t="s">
        <v>930</v>
      </c>
      <c r="B878" s="8" t="str">
        <f t="shared" si="13"/>
        <v>2024-05-08 08:38:00</v>
      </c>
    </row>
    <row r="879" spans="1:2" x14ac:dyDescent="0.2">
      <c r="A879" t="s">
        <v>931</v>
      </c>
      <c r="B879" s="8" t="str">
        <f t="shared" si="13"/>
        <v>2024-03-02 23:55:00</v>
      </c>
    </row>
    <row r="880" spans="1:2" x14ac:dyDescent="0.2">
      <c r="A880" t="s">
        <v>932</v>
      </c>
      <c r="B880" s="8" t="str">
        <f t="shared" si="13"/>
        <v>2024-01-12 05:25:00</v>
      </c>
    </row>
    <row r="881" spans="1:2" x14ac:dyDescent="0.2">
      <c r="A881" t="s">
        <v>933</v>
      </c>
      <c r="B881" s="8" t="str">
        <f t="shared" si="13"/>
        <v>2024-03-01 06:52:00</v>
      </c>
    </row>
    <row r="882" spans="1:2" x14ac:dyDescent="0.2">
      <c r="A882" t="s">
        <v>934</v>
      </c>
      <c r="B882" s="8" t="str">
        <f t="shared" si="13"/>
        <v>2024-04-07 20:58:00</v>
      </c>
    </row>
    <row r="883" spans="1:2" x14ac:dyDescent="0.2">
      <c r="A883" t="s">
        <v>935</v>
      </c>
      <c r="B883" s="8" t="str">
        <f t="shared" si="13"/>
        <v>2024-01-23 05:33:00</v>
      </c>
    </row>
    <row r="884" spans="1:2" x14ac:dyDescent="0.2">
      <c r="A884" t="s">
        <v>936</v>
      </c>
      <c r="B884" s="8" t="str">
        <f t="shared" si="13"/>
        <v>2024-02-03 08:29:00</v>
      </c>
    </row>
    <row r="885" spans="1:2" x14ac:dyDescent="0.2">
      <c r="A885" t="s">
        <v>937</v>
      </c>
      <c r="B885" s="8" t="str">
        <f t="shared" si="13"/>
        <v>2024-03-31 14:15:00</v>
      </c>
    </row>
    <row r="886" spans="1:2" x14ac:dyDescent="0.2">
      <c r="A886" t="s">
        <v>938</v>
      </c>
      <c r="B886" s="8" t="str">
        <f t="shared" si="13"/>
        <v>2024-03-07 06:17:00</v>
      </c>
    </row>
    <row r="887" spans="1:2" x14ac:dyDescent="0.2">
      <c r="A887" t="s">
        <v>939</v>
      </c>
      <c r="B887" s="8" t="str">
        <f t="shared" si="13"/>
        <v>2024-05-16 04:10:00</v>
      </c>
    </row>
    <row r="888" spans="1:2" x14ac:dyDescent="0.2">
      <c r="A888" t="s">
        <v>940</v>
      </c>
      <c r="B888" s="8" t="str">
        <f t="shared" si="13"/>
        <v>2024-05-18 08:26:00</v>
      </c>
    </row>
    <row r="889" spans="1:2" x14ac:dyDescent="0.2">
      <c r="A889" t="s">
        <v>941</v>
      </c>
      <c r="B889" s="8" t="str">
        <f t="shared" si="13"/>
        <v>2024-04-08 17:16:00</v>
      </c>
    </row>
    <row r="890" spans="1:2" x14ac:dyDescent="0.2">
      <c r="A890" t="s">
        <v>942</v>
      </c>
      <c r="B890" s="8" t="str">
        <f t="shared" si="13"/>
        <v>2024-03-13 20:39:00</v>
      </c>
    </row>
    <row r="891" spans="1:2" x14ac:dyDescent="0.2">
      <c r="A891" t="s">
        <v>943</v>
      </c>
      <c r="B891" s="8" t="str">
        <f t="shared" si="13"/>
        <v>2024-04-17 10:30:00</v>
      </c>
    </row>
    <row r="892" spans="1:2" x14ac:dyDescent="0.2">
      <c r="A892" t="s">
        <v>944</v>
      </c>
      <c r="B892" s="8" t="str">
        <f t="shared" si="13"/>
        <v>2024-03-23 05:23:00</v>
      </c>
    </row>
    <row r="893" spans="1:2" x14ac:dyDescent="0.2">
      <c r="A893" t="s">
        <v>945</v>
      </c>
      <c r="B893" s="8" t="str">
        <f t="shared" si="13"/>
        <v>2024-03-10 16:32:00</v>
      </c>
    </row>
    <row r="894" spans="1:2" x14ac:dyDescent="0.2">
      <c r="A894" t="s">
        <v>946</v>
      </c>
      <c r="B894" s="8" t="str">
        <f t="shared" si="13"/>
        <v>2024-03-16 01:42:00</v>
      </c>
    </row>
    <row r="895" spans="1:2" x14ac:dyDescent="0.2">
      <c r="A895" t="s">
        <v>947</v>
      </c>
      <c r="B895" s="8" t="str">
        <f t="shared" si="13"/>
        <v>2024-03-11 03:08:00</v>
      </c>
    </row>
    <row r="896" spans="1:2" x14ac:dyDescent="0.2">
      <c r="A896" t="s">
        <v>948</v>
      </c>
      <c r="B896" s="8" t="str">
        <f t="shared" si="13"/>
        <v>2024-02-04 17:21:00</v>
      </c>
    </row>
    <row r="897" spans="1:2" x14ac:dyDescent="0.2">
      <c r="A897" t="s">
        <v>949</v>
      </c>
      <c r="B897" s="8" t="str">
        <f t="shared" si="13"/>
        <v>2024-04-07 16:38:00</v>
      </c>
    </row>
    <row r="898" spans="1:2" x14ac:dyDescent="0.2">
      <c r="A898" t="s">
        <v>950</v>
      </c>
      <c r="B898" s="8" t="str">
        <f t="shared" si="13"/>
        <v>2024-01-31 23:20:00</v>
      </c>
    </row>
    <row r="899" spans="1:2" x14ac:dyDescent="0.2">
      <c r="A899" t="s">
        <v>951</v>
      </c>
      <c r="B899" s="8" t="str">
        <f t="shared" ref="B899:C962" si="14">RIGHT(A899,19)</f>
        <v>2024-01-31 21:31:00</v>
      </c>
    </row>
    <row r="900" spans="1:2" x14ac:dyDescent="0.2">
      <c r="A900" t="s">
        <v>952</v>
      </c>
      <c r="B900" s="8" t="str">
        <f t="shared" si="14"/>
        <v>2024-02-03 11:26:00</v>
      </c>
    </row>
    <row r="901" spans="1:2" x14ac:dyDescent="0.2">
      <c r="A901" t="s">
        <v>953</v>
      </c>
      <c r="B901" s="8" t="str">
        <f t="shared" si="14"/>
        <v>2024-04-01 18:47:00</v>
      </c>
    </row>
    <row r="902" spans="1:2" x14ac:dyDescent="0.2">
      <c r="A902" t="s">
        <v>954</v>
      </c>
      <c r="B902" s="8" t="str">
        <f t="shared" si="14"/>
        <v>2024-04-19 13:52:00</v>
      </c>
    </row>
    <row r="903" spans="1:2" x14ac:dyDescent="0.2">
      <c r="A903" t="s">
        <v>955</v>
      </c>
      <c r="B903" s="8" t="str">
        <f t="shared" si="14"/>
        <v>2024-03-17 10:31:00</v>
      </c>
    </row>
    <row r="904" spans="1:2" x14ac:dyDescent="0.2">
      <c r="A904" t="s">
        <v>956</v>
      </c>
      <c r="B904" s="8" t="str">
        <f t="shared" si="14"/>
        <v>2024-05-12 03:23:00</v>
      </c>
    </row>
    <row r="905" spans="1:2" x14ac:dyDescent="0.2">
      <c r="A905" t="s">
        <v>957</v>
      </c>
      <c r="B905" s="8" t="str">
        <f t="shared" si="14"/>
        <v>2024-02-25 11:12:00</v>
      </c>
    </row>
    <row r="906" spans="1:2" x14ac:dyDescent="0.2">
      <c r="A906" t="s">
        <v>958</v>
      </c>
      <c r="B906" s="8" t="str">
        <f t="shared" si="14"/>
        <v>2024-05-04 01:40:00</v>
      </c>
    </row>
    <row r="907" spans="1:2" x14ac:dyDescent="0.2">
      <c r="A907" t="s">
        <v>959</v>
      </c>
      <c r="B907" s="8" t="str">
        <f t="shared" si="14"/>
        <v>2024-04-20 22:57:00</v>
      </c>
    </row>
    <row r="908" spans="1:2" x14ac:dyDescent="0.2">
      <c r="A908" t="s">
        <v>960</v>
      </c>
      <c r="B908" s="8" t="str">
        <f t="shared" si="14"/>
        <v>2024-01-03 19:02:00</v>
      </c>
    </row>
    <row r="909" spans="1:2" x14ac:dyDescent="0.2">
      <c r="A909" t="s">
        <v>961</v>
      </c>
      <c r="B909" s="8" t="str">
        <f t="shared" si="14"/>
        <v>2024-02-14 04:36:00</v>
      </c>
    </row>
    <row r="910" spans="1:2" x14ac:dyDescent="0.2">
      <c r="A910" t="s">
        <v>962</v>
      </c>
      <c r="B910" s="8" t="str">
        <f t="shared" si="14"/>
        <v>2024-02-13 21:27:00</v>
      </c>
    </row>
    <row r="911" spans="1:2" x14ac:dyDescent="0.2">
      <c r="A911" t="s">
        <v>963</v>
      </c>
      <c r="B911" s="8" t="str">
        <f t="shared" si="14"/>
        <v>2024-02-08 03:47:00</v>
      </c>
    </row>
    <row r="912" spans="1:2" x14ac:dyDescent="0.2">
      <c r="A912" t="s">
        <v>964</v>
      </c>
      <c r="B912" s="8" t="str">
        <f t="shared" si="14"/>
        <v>2024-02-07 20:39:00</v>
      </c>
    </row>
    <row r="913" spans="1:2" x14ac:dyDescent="0.2">
      <c r="A913" t="s">
        <v>965</v>
      </c>
      <c r="B913" s="8" t="str">
        <f t="shared" si="14"/>
        <v>2024-02-13 07:39:00</v>
      </c>
    </row>
    <row r="914" spans="1:2" x14ac:dyDescent="0.2">
      <c r="A914" t="s">
        <v>966</v>
      </c>
      <c r="B914" s="8" t="str">
        <f t="shared" si="14"/>
        <v>2024-04-18 22:11:00</v>
      </c>
    </row>
    <row r="915" spans="1:2" x14ac:dyDescent="0.2">
      <c r="A915" t="s">
        <v>967</v>
      </c>
      <c r="B915" s="8" t="str">
        <f t="shared" si="14"/>
        <v>2024-05-18 01:58:00</v>
      </c>
    </row>
    <row r="916" spans="1:2" x14ac:dyDescent="0.2">
      <c r="A916" t="s">
        <v>968</v>
      </c>
      <c r="B916" s="8" t="str">
        <f t="shared" si="14"/>
        <v>2024-02-03 06:54:00</v>
      </c>
    </row>
    <row r="917" spans="1:2" x14ac:dyDescent="0.2">
      <c r="A917" t="s">
        <v>969</v>
      </c>
      <c r="B917" s="8" t="str">
        <f t="shared" si="14"/>
        <v>2024-02-23 12:52:00</v>
      </c>
    </row>
    <row r="918" spans="1:2" x14ac:dyDescent="0.2">
      <c r="A918" t="s">
        <v>970</v>
      </c>
      <c r="B918" s="8" t="str">
        <f t="shared" si="14"/>
        <v>2024-05-07 10:37:00</v>
      </c>
    </row>
    <row r="919" spans="1:2" x14ac:dyDescent="0.2">
      <c r="A919" t="s">
        <v>971</v>
      </c>
      <c r="B919" s="8" t="str">
        <f t="shared" si="14"/>
        <v>2024-02-05 16:30:00</v>
      </c>
    </row>
    <row r="920" spans="1:2" x14ac:dyDescent="0.2">
      <c r="A920" t="s">
        <v>972</v>
      </c>
      <c r="B920" s="8" t="str">
        <f t="shared" si="14"/>
        <v>2024-03-15 13:57:00</v>
      </c>
    </row>
    <row r="921" spans="1:2" x14ac:dyDescent="0.2">
      <c r="A921" t="s">
        <v>973</v>
      </c>
      <c r="B921" s="8" t="str">
        <f t="shared" si="14"/>
        <v>2024-02-26 01:22:00</v>
      </c>
    </row>
    <row r="922" spans="1:2" x14ac:dyDescent="0.2">
      <c r="A922" t="s">
        <v>974</v>
      </c>
      <c r="B922" s="8" t="str">
        <f t="shared" si="14"/>
        <v>2024-04-20 02:54:00</v>
      </c>
    </row>
    <row r="923" spans="1:2" x14ac:dyDescent="0.2">
      <c r="A923" t="s">
        <v>975</v>
      </c>
      <c r="B923" s="8" t="str">
        <f t="shared" si="14"/>
        <v>2024-04-17 03:48:00</v>
      </c>
    </row>
    <row r="924" spans="1:2" x14ac:dyDescent="0.2">
      <c r="A924" t="s">
        <v>976</v>
      </c>
      <c r="B924" s="8" t="str">
        <f t="shared" si="14"/>
        <v>2024-04-20 09:44:00</v>
      </c>
    </row>
    <row r="925" spans="1:2" x14ac:dyDescent="0.2">
      <c r="A925" t="s">
        <v>977</v>
      </c>
      <c r="B925" s="8" t="str">
        <f t="shared" si="14"/>
        <v>2024-02-03 23:08:00</v>
      </c>
    </row>
    <row r="926" spans="1:2" x14ac:dyDescent="0.2">
      <c r="A926" t="s">
        <v>978</v>
      </c>
      <c r="B926" s="8" t="str">
        <f t="shared" si="14"/>
        <v>2024-01-10 05:01:00</v>
      </c>
    </row>
    <row r="927" spans="1:2" x14ac:dyDescent="0.2">
      <c r="A927" t="s">
        <v>979</v>
      </c>
      <c r="B927" s="8" t="str">
        <f t="shared" si="14"/>
        <v>2024-04-25 22:50:00</v>
      </c>
    </row>
    <row r="928" spans="1:2" x14ac:dyDescent="0.2">
      <c r="A928" t="s">
        <v>980</v>
      </c>
      <c r="B928" s="8" t="str">
        <f t="shared" si="14"/>
        <v>2024-02-05 14:11:00</v>
      </c>
    </row>
    <row r="929" spans="1:2" x14ac:dyDescent="0.2">
      <c r="A929" t="s">
        <v>981</v>
      </c>
      <c r="B929" s="8" t="str">
        <f t="shared" si="14"/>
        <v>2024-05-17 01:42:00</v>
      </c>
    </row>
    <row r="930" spans="1:2" x14ac:dyDescent="0.2">
      <c r="A930" t="s">
        <v>982</v>
      </c>
      <c r="B930" s="8" t="str">
        <f t="shared" si="14"/>
        <v>2024-05-23 10:13:00</v>
      </c>
    </row>
    <row r="931" spans="1:2" x14ac:dyDescent="0.2">
      <c r="A931" t="s">
        <v>983</v>
      </c>
      <c r="B931" s="8" t="str">
        <f t="shared" si="14"/>
        <v>2024-04-30 06:12:00</v>
      </c>
    </row>
    <row r="932" spans="1:2" x14ac:dyDescent="0.2">
      <c r="A932" t="s">
        <v>984</v>
      </c>
      <c r="B932" s="8" t="str">
        <f t="shared" si="14"/>
        <v>2024-05-09 11:48:00</v>
      </c>
    </row>
    <row r="933" spans="1:2" x14ac:dyDescent="0.2">
      <c r="A933" t="s">
        <v>985</v>
      </c>
      <c r="B933" s="8" t="str">
        <f t="shared" si="14"/>
        <v>2024-03-25 22:10:00</v>
      </c>
    </row>
    <row r="934" spans="1:2" x14ac:dyDescent="0.2">
      <c r="A934" t="s">
        <v>986</v>
      </c>
      <c r="B934" s="8" t="str">
        <f t="shared" si="14"/>
        <v>2024-05-11 03:43:00</v>
      </c>
    </row>
    <row r="935" spans="1:2" x14ac:dyDescent="0.2">
      <c r="A935" t="s">
        <v>987</v>
      </c>
      <c r="B935" s="8" t="str">
        <f t="shared" si="14"/>
        <v>2024-02-17 14:10:00</v>
      </c>
    </row>
    <row r="936" spans="1:2" x14ac:dyDescent="0.2">
      <c r="A936" t="s">
        <v>988</v>
      </c>
      <c r="B936" s="8" t="str">
        <f t="shared" si="14"/>
        <v>2024-04-18 05:29:00</v>
      </c>
    </row>
    <row r="937" spans="1:2" x14ac:dyDescent="0.2">
      <c r="A937" t="s">
        <v>989</v>
      </c>
      <c r="B937" s="8" t="str">
        <f t="shared" si="14"/>
        <v>2024-02-29 02:48:00</v>
      </c>
    </row>
    <row r="938" spans="1:2" x14ac:dyDescent="0.2">
      <c r="A938" t="s">
        <v>990</v>
      </c>
      <c r="B938" s="8" t="str">
        <f t="shared" si="14"/>
        <v>2024-05-19 12:49:00</v>
      </c>
    </row>
    <row r="939" spans="1:2" x14ac:dyDescent="0.2">
      <c r="A939" t="s">
        <v>991</v>
      </c>
      <c r="B939" s="8" t="str">
        <f t="shared" si="14"/>
        <v>2024-04-13 18:00:00</v>
      </c>
    </row>
    <row r="940" spans="1:2" x14ac:dyDescent="0.2">
      <c r="A940" t="s">
        <v>992</v>
      </c>
      <c r="B940" s="8" t="str">
        <f t="shared" si="14"/>
        <v>2024-02-26 09:14:00</v>
      </c>
    </row>
    <row r="941" spans="1:2" x14ac:dyDescent="0.2">
      <c r="A941" t="s">
        <v>993</v>
      </c>
      <c r="B941" s="8" t="str">
        <f t="shared" si="14"/>
        <v>2024-02-19 02:28:00</v>
      </c>
    </row>
    <row r="942" spans="1:2" x14ac:dyDescent="0.2">
      <c r="A942" t="s">
        <v>994</v>
      </c>
      <c r="B942" s="8" t="str">
        <f t="shared" si="14"/>
        <v>2024-01-10 11:57:00</v>
      </c>
    </row>
    <row r="943" spans="1:2" x14ac:dyDescent="0.2">
      <c r="A943" t="s">
        <v>995</v>
      </c>
      <c r="B943" s="8" t="str">
        <f t="shared" si="14"/>
        <v>2024-01-05 04:35:00</v>
      </c>
    </row>
    <row r="944" spans="1:2" x14ac:dyDescent="0.2">
      <c r="A944" t="s">
        <v>996</v>
      </c>
      <c r="B944" s="8" t="str">
        <f t="shared" si="14"/>
        <v>2024-03-25 16:29:00</v>
      </c>
    </row>
    <row r="945" spans="1:2" x14ac:dyDescent="0.2">
      <c r="A945" t="s">
        <v>997</v>
      </c>
      <c r="B945" s="8" t="str">
        <f t="shared" si="14"/>
        <v>2024-05-17 00:05:00</v>
      </c>
    </row>
    <row r="946" spans="1:2" x14ac:dyDescent="0.2">
      <c r="A946" t="s">
        <v>998</v>
      </c>
      <c r="B946" s="8" t="str">
        <f t="shared" si="14"/>
        <v>2024-01-03 02:00:00</v>
      </c>
    </row>
    <row r="947" spans="1:2" x14ac:dyDescent="0.2">
      <c r="A947" t="s">
        <v>999</v>
      </c>
      <c r="B947" s="8" t="str">
        <f t="shared" si="14"/>
        <v>2024-04-20 10:08:00</v>
      </c>
    </row>
    <row r="948" spans="1:2" x14ac:dyDescent="0.2">
      <c r="A948" t="s">
        <v>1000</v>
      </c>
      <c r="B948" s="8" t="str">
        <f t="shared" si="14"/>
        <v>2024-05-28 19:31:00</v>
      </c>
    </row>
    <row r="949" spans="1:2" x14ac:dyDescent="0.2">
      <c r="A949" t="s">
        <v>1001</v>
      </c>
      <c r="B949" s="8" t="str">
        <f t="shared" si="14"/>
        <v>2024-01-05 19:38:00</v>
      </c>
    </row>
    <row r="950" spans="1:2" x14ac:dyDescent="0.2">
      <c r="A950" t="s">
        <v>1002</v>
      </c>
      <c r="B950" s="8" t="str">
        <f t="shared" si="14"/>
        <v>2024-01-06 05:18:00</v>
      </c>
    </row>
    <row r="951" spans="1:2" x14ac:dyDescent="0.2">
      <c r="A951" t="s">
        <v>1003</v>
      </c>
      <c r="B951" s="8" t="str">
        <f t="shared" si="14"/>
        <v>2024-05-10 06:44:00</v>
      </c>
    </row>
    <row r="952" spans="1:2" x14ac:dyDescent="0.2">
      <c r="A952" t="s">
        <v>1004</v>
      </c>
      <c r="B952" s="8" t="str">
        <f t="shared" si="14"/>
        <v>2024-03-23 09:38:00</v>
      </c>
    </row>
    <row r="953" spans="1:2" x14ac:dyDescent="0.2">
      <c r="A953" t="s">
        <v>1005</v>
      </c>
      <c r="B953" s="8" t="str">
        <f t="shared" si="14"/>
        <v>2024-03-06 21:08:00</v>
      </c>
    </row>
    <row r="954" spans="1:2" x14ac:dyDescent="0.2">
      <c r="A954" t="s">
        <v>1006</v>
      </c>
      <c r="B954" s="8" t="str">
        <f t="shared" si="14"/>
        <v>2024-03-09 21:06:00</v>
      </c>
    </row>
    <row r="955" spans="1:2" x14ac:dyDescent="0.2">
      <c r="A955" t="s">
        <v>1007</v>
      </c>
      <c r="B955" s="8" t="str">
        <f t="shared" si="14"/>
        <v>2024-05-23 21:47:00</v>
      </c>
    </row>
    <row r="956" spans="1:2" x14ac:dyDescent="0.2">
      <c r="A956" t="s">
        <v>1008</v>
      </c>
      <c r="B956" s="8" t="str">
        <f t="shared" si="14"/>
        <v>2024-05-25 01:44:00</v>
      </c>
    </row>
    <row r="957" spans="1:2" x14ac:dyDescent="0.2">
      <c r="A957" t="s">
        <v>1009</v>
      </c>
      <c r="B957" s="8" t="str">
        <f t="shared" si="14"/>
        <v>2024-01-07 14:24:00</v>
      </c>
    </row>
    <row r="958" spans="1:2" x14ac:dyDescent="0.2">
      <c r="A958" t="s">
        <v>1010</v>
      </c>
      <c r="B958" s="8" t="str">
        <f t="shared" si="14"/>
        <v>2024-05-27 20:57:00</v>
      </c>
    </row>
    <row r="959" spans="1:2" x14ac:dyDescent="0.2">
      <c r="A959" t="s">
        <v>1011</v>
      </c>
      <c r="B959" s="8" t="str">
        <f t="shared" si="14"/>
        <v>2024-01-01 04:59:00</v>
      </c>
    </row>
    <row r="960" spans="1:2" x14ac:dyDescent="0.2">
      <c r="A960" t="s">
        <v>1012</v>
      </c>
      <c r="B960" s="8" t="str">
        <f t="shared" si="14"/>
        <v>2024-05-17 12:50:00</v>
      </c>
    </row>
    <row r="961" spans="1:2" x14ac:dyDescent="0.2">
      <c r="A961" t="s">
        <v>1013</v>
      </c>
      <c r="B961" s="8" t="str">
        <f t="shared" si="14"/>
        <v>2024-04-22 04:01:00</v>
      </c>
    </row>
    <row r="962" spans="1:2" x14ac:dyDescent="0.2">
      <c r="A962" t="s">
        <v>1014</v>
      </c>
      <c r="B962" s="8" t="str">
        <f t="shared" si="14"/>
        <v>2024-01-20 07:12:00</v>
      </c>
    </row>
    <row r="963" spans="1:2" x14ac:dyDescent="0.2">
      <c r="A963" t="s">
        <v>1015</v>
      </c>
      <c r="B963" s="8" t="str">
        <f t="shared" ref="B963:C1001" si="15">RIGHT(A963,19)</f>
        <v>2024-02-25 23:05:00</v>
      </c>
    </row>
    <row r="964" spans="1:2" x14ac:dyDescent="0.2">
      <c r="A964" t="s">
        <v>1016</v>
      </c>
      <c r="B964" s="8" t="str">
        <f t="shared" si="15"/>
        <v>2024-03-16 22:44:00</v>
      </c>
    </row>
    <row r="965" spans="1:2" x14ac:dyDescent="0.2">
      <c r="A965" t="s">
        <v>1017</v>
      </c>
      <c r="B965" s="8" t="str">
        <f t="shared" si="15"/>
        <v>2024-03-14 21:05:00</v>
      </c>
    </row>
    <row r="966" spans="1:2" x14ac:dyDescent="0.2">
      <c r="A966" t="s">
        <v>1018</v>
      </c>
      <c r="B966" s="8" t="str">
        <f t="shared" si="15"/>
        <v>2024-03-17 06:00:00</v>
      </c>
    </row>
    <row r="967" spans="1:2" x14ac:dyDescent="0.2">
      <c r="A967" t="s">
        <v>1019</v>
      </c>
      <c r="B967" s="8" t="str">
        <f t="shared" si="15"/>
        <v>2024-02-10 12:32:00</v>
      </c>
    </row>
    <row r="968" spans="1:2" x14ac:dyDescent="0.2">
      <c r="A968" t="s">
        <v>1020</v>
      </c>
      <c r="B968" s="8" t="str">
        <f t="shared" si="15"/>
        <v>2024-01-21 18:54:00</v>
      </c>
    </row>
    <row r="969" spans="1:2" x14ac:dyDescent="0.2">
      <c r="A969" t="s">
        <v>1021</v>
      </c>
      <c r="B969" s="8" t="str">
        <f t="shared" si="15"/>
        <v>2024-05-21 14:03:00</v>
      </c>
    </row>
    <row r="970" spans="1:2" x14ac:dyDescent="0.2">
      <c r="A970" t="s">
        <v>1022</v>
      </c>
      <c r="B970" s="8" t="str">
        <f t="shared" si="15"/>
        <v>2024-02-15 22:05:00</v>
      </c>
    </row>
    <row r="971" spans="1:2" x14ac:dyDescent="0.2">
      <c r="A971" t="s">
        <v>1023</v>
      </c>
      <c r="B971" s="8" t="str">
        <f t="shared" si="15"/>
        <v>2024-02-12 12:31:00</v>
      </c>
    </row>
    <row r="972" spans="1:2" x14ac:dyDescent="0.2">
      <c r="A972" t="s">
        <v>1024</v>
      </c>
      <c r="B972" s="8" t="str">
        <f t="shared" si="15"/>
        <v>2024-05-30 10:14:00</v>
      </c>
    </row>
    <row r="973" spans="1:2" x14ac:dyDescent="0.2">
      <c r="A973" t="s">
        <v>1025</v>
      </c>
      <c r="B973" s="8" t="str">
        <f t="shared" si="15"/>
        <v>2024-05-30 21:20:00</v>
      </c>
    </row>
    <row r="974" spans="1:2" x14ac:dyDescent="0.2">
      <c r="A974" t="s">
        <v>1026</v>
      </c>
      <c r="B974" s="8" t="str">
        <f t="shared" si="15"/>
        <v>2024-04-14 17:22:00</v>
      </c>
    </row>
    <row r="975" spans="1:2" x14ac:dyDescent="0.2">
      <c r="A975" t="s">
        <v>1027</v>
      </c>
      <c r="B975" s="8" t="str">
        <f t="shared" si="15"/>
        <v>2024-01-25 01:05:00</v>
      </c>
    </row>
    <row r="976" spans="1:2" x14ac:dyDescent="0.2">
      <c r="A976" t="s">
        <v>1028</v>
      </c>
      <c r="B976" s="8" t="str">
        <f t="shared" si="15"/>
        <v>2024-05-19 13:50:00</v>
      </c>
    </row>
    <row r="977" spans="1:2" x14ac:dyDescent="0.2">
      <c r="A977" t="s">
        <v>1029</v>
      </c>
      <c r="B977" s="8" t="str">
        <f t="shared" si="15"/>
        <v>2024-02-18 02:34:00</v>
      </c>
    </row>
    <row r="978" spans="1:2" x14ac:dyDescent="0.2">
      <c r="A978" t="s">
        <v>1030</v>
      </c>
      <c r="B978" s="8" t="str">
        <f t="shared" si="15"/>
        <v>2024-02-16 21:18:00</v>
      </c>
    </row>
    <row r="979" spans="1:2" x14ac:dyDescent="0.2">
      <c r="A979" t="s">
        <v>1031</v>
      </c>
      <c r="B979" s="8" t="str">
        <f t="shared" si="15"/>
        <v>2024-03-07 00:30:00</v>
      </c>
    </row>
    <row r="980" spans="1:2" x14ac:dyDescent="0.2">
      <c r="A980" t="s">
        <v>1032</v>
      </c>
      <c r="B980" s="8" t="str">
        <f t="shared" si="15"/>
        <v>2024-05-13 13:35:00</v>
      </c>
    </row>
    <row r="981" spans="1:2" x14ac:dyDescent="0.2">
      <c r="A981" t="s">
        <v>1033</v>
      </c>
      <c r="B981" s="8" t="str">
        <f t="shared" si="15"/>
        <v>2024-03-13 11:44:00</v>
      </c>
    </row>
    <row r="982" spans="1:2" x14ac:dyDescent="0.2">
      <c r="A982" t="s">
        <v>1034</v>
      </c>
      <c r="B982" s="8" t="str">
        <f t="shared" si="15"/>
        <v>2024-04-24 11:50:00</v>
      </c>
    </row>
    <row r="983" spans="1:2" x14ac:dyDescent="0.2">
      <c r="A983" t="s">
        <v>1035</v>
      </c>
      <c r="B983" s="8" t="str">
        <f t="shared" si="15"/>
        <v>2024-04-01 02:57:00</v>
      </c>
    </row>
    <row r="984" spans="1:2" x14ac:dyDescent="0.2">
      <c r="A984" t="s">
        <v>1036</v>
      </c>
      <c r="B984" s="8" t="str">
        <f t="shared" si="15"/>
        <v>2024-05-30 16:16:00</v>
      </c>
    </row>
    <row r="985" spans="1:2" x14ac:dyDescent="0.2">
      <c r="A985" t="s">
        <v>1037</v>
      </c>
      <c r="B985" s="8" t="str">
        <f t="shared" si="15"/>
        <v>2024-02-08 09:36:00</v>
      </c>
    </row>
    <row r="986" spans="1:2" x14ac:dyDescent="0.2">
      <c r="A986" t="s">
        <v>1038</v>
      </c>
      <c r="B986" s="8" t="str">
        <f t="shared" si="15"/>
        <v>2024-03-01 19:36:00</v>
      </c>
    </row>
    <row r="987" spans="1:2" x14ac:dyDescent="0.2">
      <c r="A987" t="s">
        <v>1039</v>
      </c>
      <c r="B987" s="8" t="str">
        <f t="shared" si="15"/>
        <v>2024-03-09 20:44:00</v>
      </c>
    </row>
    <row r="988" spans="1:2" x14ac:dyDescent="0.2">
      <c r="A988" t="s">
        <v>1040</v>
      </c>
      <c r="B988" s="8" t="str">
        <f t="shared" si="15"/>
        <v>2024-05-07 19:40:00</v>
      </c>
    </row>
    <row r="989" spans="1:2" x14ac:dyDescent="0.2">
      <c r="A989" t="s">
        <v>1041</v>
      </c>
      <c r="B989" s="8" t="str">
        <f t="shared" si="15"/>
        <v>2024-02-22 10:10:00</v>
      </c>
    </row>
    <row r="990" spans="1:2" x14ac:dyDescent="0.2">
      <c r="A990" t="s">
        <v>1042</v>
      </c>
      <c r="B990" s="8" t="str">
        <f t="shared" si="15"/>
        <v>2024-05-17 04:43:00</v>
      </c>
    </row>
    <row r="991" spans="1:2" x14ac:dyDescent="0.2">
      <c r="A991" t="s">
        <v>1043</v>
      </c>
      <c r="B991" s="8" t="str">
        <f t="shared" si="15"/>
        <v>2024-04-12 22:25:00</v>
      </c>
    </row>
    <row r="992" spans="1:2" x14ac:dyDescent="0.2">
      <c r="A992" t="s">
        <v>1044</v>
      </c>
      <c r="B992" s="8" t="str">
        <f t="shared" si="15"/>
        <v>2024-05-27 12:34:00</v>
      </c>
    </row>
    <row r="993" spans="1:2" x14ac:dyDescent="0.2">
      <c r="A993" t="s">
        <v>1045</v>
      </c>
      <c r="B993" s="8" t="str">
        <f t="shared" si="15"/>
        <v>2024-04-05 11:13:00</v>
      </c>
    </row>
    <row r="994" spans="1:2" x14ac:dyDescent="0.2">
      <c r="A994" t="s">
        <v>1046</v>
      </c>
      <c r="B994" s="8" t="str">
        <f t="shared" si="15"/>
        <v>2024-02-07 03:10:00</v>
      </c>
    </row>
    <row r="995" spans="1:2" x14ac:dyDescent="0.2">
      <c r="A995" t="s">
        <v>1047</v>
      </c>
      <c r="B995" s="8" t="str">
        <f t="shared" si="15"/>
        <v>2024-01-31 07:28:00</v>
      </c>
    </row>
    <row r="996" spans="1:2" x14ac:dyDescent="0.2">
      <c r="A996" t="s">
        <v>1048</v>
      </c>
      <c r="B996" s="8" t="str">
        <f t="shared" si="15"/>
        <v>2024-05-18 06:15:00</v>
      </c>
    </row>
    <row r="997" spans="1:2" x14ac:dyDescent="0.2">
      <c r="A997" t="s">
        <v>1049</v>
      </c>
      <c r="B997" s="8" t="str">
        <f t="shared" si="15"/>
        <v>2024-05-09 08:13:00</v>
      </c>
    </row>
    <row r="998" spans="1:2" x14ac:dyDescent="0.2">
      <c r="A998" t="s">
        <v>1050</v>
      </c>
      <c r="B998" s="8" t="str">
        <f t="shared" si="15"/>
        <v>2024-02-28 07:56:00</v>
      </c>
    </row>
    <row r="999" spans="1:2" x14ac:dyDescent="0.2">
      <c r="A999" t="s">
        <v>1051</v>
      </c>
      <c r="B999" s="8" t="str">
        <f t="shared" si="15"/>
        <v>2024-02-17 05:58:00</v>
      </c>
    </row>
    <row r="1000" spans="1:2" x14ac:dyDescent="0.2">
      <c r="A1000" t="s">
        <v>1052</v>
      </c>
      <c r="B1000" s="8" t="str">
        <f t="shared" si="15"/>
        <v>2024-01-16 23:27:00</v>
      </c>
    </row>
    <row r="1001" spans="1:2" x14ac:dyDescent="0.2">
      <c r="A1001" t="s">
        <v>1053</v>
      </c>
      <c r="B1001" s="8" t="str">
        <f t="shared" si="15"/>
        <v>2024-05-27 02:15:00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15FAA-D4D3-7C4B-A3CE-6F06BBBFA890}">
  <dimension ref="A1:ALZ1001"/>
  <sheetViews>
    <sheetView tabSelected="1" workbookViewId="0">
      <selection activeCell="O2" sqref="O2:ALZ2"/>
    </sheetView>
  </sheetViews>
  <sheetFormatPr baseColWidth="10" defaultRowHeight="16" x14ac:dyDescent="0.2"/>
  <cols>
    <col min="1" max="1" width="46.1640625" bestFit="1" customWidth="1"/>
    <col min="6" max="6" width="18" style="8" bestFit="1" customWidth="1"/>
    <col min="12" max="12" width="19.33203125" bestFit="1" customWidth="1"/>
    <col min="13" max="13" width="41.33203125" bestFit="1" customWidth="1"/>
    <col min="15" max="15" width="41.83203125" bestFit="1" customWidth="1"/>
  </cols>
  <sheetData>
    <row r="1" spans="1:1014" x14ac:dyDescent="0.2">
      <c r="A1" t="s">
        <v>1054</v>
      </c>
      <c r="B1" t="s">
        <v>1055</v>
      </c>
      <c r="C1" t="s">
        <v>1056</v>
      </c>
      <c r="D1" t="s">
        <v>1057</v>
      </c>
      <c r="E1" t="s">
        <v>1058</v>
      </c>
      <c r="F1" s="8" t="s">
        <v>1059</v>
      </c>
      <c r="G1" t="str">
        <f>"("&amp;A1&amp;","</f>
        <v>(id_cliente,</v>
      </c>
      <c r="H1" t="str">
        <f t="shared" ref="H1:L1" si="0">B1&amp;","</f>
        <v>volume,</v>
      </c>
      <c r="I1" t="str">
        <f t="shared" si="0"/>
        <v>ticker,</v>
      </c>
      <c r="J1" t="str">
        <f t="shared" si="0"/>
        <v>prezzo,</v>
      </c>
      <c r="K1" t="str">
        <f t="shared" si="0"/>
        <v>operazione,</v>
      </c>
      <c r="L1" t="str">
        <f>F1&amp;")"</f>
        <v>timestamp)</v>
      </c>
      <c r="M1" t="str">
        <f>G1&amp;H1&amp;I1&amp;J1&amp;K1&amp;L1</f>
        <v>(id_cliente,volume,ticker,prezzo,operazione,timestamp)</v>
      </c>
    </row>
    <row r="2" spans="1:1014" x14ac:dyDescent="0.2">
      <c r="A2">
        <v>5705</v>
      </c>
      <c r="B2">
        <v>269</v>
      </c>
      <c r="C2" t="s">
        <v>1060</v>
      </c>
      <c r="D2" t="s">
        <v>1061</v>
      </c>
      <c r="E2" t="s">
        <v>1062</v>
      </c>
      <c r="F2" s="8" t="s">
        <v>2062</v>
      </c>
      <c r="G2" t="str">
        <f>"("&amp;A2&amp;","</f>
        <v>(5705,</v>
      </c>
      <c r="H2" t="str">
        <f>B2&amp;","</f>
        <v>269,</v>
      </c>
      <c r="I2" t="str">
        <f>"'"&amp;C2&amp;"',"</f>
        <v>'TSLA',</v>
      </c>
      <c r="J2" t="str">
        <f t="shared" ref="J2:K2" si="1">D2&amp;","</f>
        <v>362.2,</v>
      </c>
      <c r="K2" t="str">
        <f>"'"&amp;E2&amp;"',"</f>
        <v>'SELL',</v>
      </c>
      <c r="L2" t="str">
        <f>"'"&amp;F2&amp;"'),"</f>
        <v>'2024-05-13 09:32:00'),</v>
      </c>
      <c r="M2" t="str">
        <f>G2&amp;H2&amp;I2&amp;J2&amp;K2&amp;L2</f>
        <v>(5705,269,'TSLA',362.2,'SELL','2024-05-13 09:32:00'),</v>
      </c>
      <c r="O2" t="str" cm="1">
        <f t="array" ref="O2:ALZ2">TRANSPOSE(M2:M1001)</f>
        <v>(5705,269,'TSLA',362.2,'SELL','2024-05-13 09:32:00'),</v>
      </c>
      <c r="P2" t="str">
        <v>(6298,295,'META',510.4,'SELL','2024-05-09 16:43:00'),</v>
      </c>
      <c r="Q2" t="str">
        <v>(5258,812,'TSLA',565.97,'SELL','2024-03-02 02:07:00'),</v>
      </c>
      <c r="R2" t="str">
        <v>(4669,530,'AMZN',136.06,'BUY','2024-03-21 00:09:00'),</v>
      </c>
      <c r="S2" t="str">
        <v>(4669,232,'MSFT',824.07,'SELL','2024-03-15 17:16:00'),</v>
      </c>
      <c r="T2" t="str">
        <v>(7938,521,'META',332.56,'SELL','2024-05-11 23:29:00'),</v>
      </c>
      <c r="U2" t="str">
        <v>(9952,510,'MSFT',399.97,'SELL','2024-01-23 21:18:00'),</v>
      </c>
      <c r="V2" t="str">
        <v>(7531,95,'MSFT',452.08,'BUY','2024-01-19 17:33:00'),</v>
      </c>
      <c r="W2" t="str">
        <v>(7938,376,'META',329.33,'BUY','2024-02-21 02:41:00'),</v>
      </c>
      <c r="X2" t="str">
        <v>(5751,569,'TSLA',283.62,'BUY','2024-04-19 20:21:00'),</v>
      </c>
      <c r="Y2" t="str">
        <v>(5751,793,'MSFT',140.36,'BUY','2024-03-17 06:16:00'),</v>
      </c>
      <c r="Z2" t="str">
        <v>(9952,870,'AMZN',399.04,'SELL','2024-05-24 18:16:00'),</v>
      </c>
      <c r="AA2" t="str">
        <v>(9094,885,'META',750.24,'BUY','2024-04-03 17:41:00'),</v>
      </c>
      <c r="AB2" t="str">
        <v>(7938,461,'TSLA',969.26,'BUY','2024-02-03 08:04:00'),</v>
      </c>
      <c r="AC2" t="str">
        <v>(9952,580,'META',408.09,'SELL','2024-04-19 13:51:00'),</v>
      </c>
      <c r="AD2" t="str">
        <v>(5297,695,'META',922.39,'SELL','2024-02-07 07:39:00'),</v>
      </c>
      <c r="AE2" t="str">
        <v>(5705,731,'AMZN',806.26,'BUY','2024-05-09 08:59:00'),</v>
      </c>
      <c r="AF2" t="str">
        <v>(5705,45,'AMZN',119.97,'BUY','2024-05-10 07:01:00'),</v>
      </c>
      <c r="AG2" t="str">
        <v>(5705,801,'MSFT',413.82,'SELL','2024-02-09 01:37:00'),</v>
      </c>
      <c r="AH2" t="str">
        <v>(6298,870,'TSLA',948.6,'BUY','2024-05-06 18:19:00'),</v>
      </c>
      <c r="AI2" t="str">
        <v>(4710,121,'MSFT',515.17,'SELL','2024-04-29 11:59:00'),</v>
      </c>
      <c r="AJ2" t="str">
        <v>(9094,978,'MSFT',181.3,'BUY','2024-05-11 15:53:00'),</v>
      </c>
      <c r="AK2" t="str">
        <v>(5297,828,'AMZN',445.17,'SELL','2024-01-18 19:19:00'),</v>
      </c>
      <c r="AL2" t="str">
        <v>(4669,278,'TSLA',664.63,'SELL','2024-01-06 15:02:00'),</v>
      </c>
      <c r="AM2" t="str">
        <v>(5297,728,'TSLA',386.12,'SELL','2024-01-26 10:40:00'),</v>
      </c>
      <c r="AN2" t="str">
        <v>(5705,75,'MSFT',700.33,'BUY','2024-02-27 22:09:00'),</v>
      </c>
      <c r="AO2" t="str">
        <v>(6298,260,'TSLA',383.0,'BUY','2024-01-28 20:07:00'),</v>
      </c>
      <c r="AP2" t="str">
        <v>(7922,538,'META',578.31,'SELL','2024-03-18 05:33:00'),</v>
      </c>
      <c r="AQ2" t="str">
        <v>(7922,297,'TSLA',290.65,'BUY','2024-04-02 16:06:00'),</v>
      </c>
      <c r="AR2" t="str">
        <v>(7531,950,'AMZN',975.13,'BUY','2024-03-10 07:59:00'),</v>
      </c>
      <c r="AS2" t="str">
        <v>(5258,169,'TSLA',166.88,'BUY','2024-01-19 09:15:00'),</v>
      </c>
      <c r="AT2" t="str">
        <v>(5297,699,'AMZN',450.45,'SELL','2024-02-06 17:23:00'),</v>
      </c>
      <c r="AU2" t="str">
        <v>(9952,43,'TSLA',203.55,'BUY','2024-04-26 04:30:00'),</v>
      </c>
      <c r="AV2" t="str">
        <v>(7922,168,'AMZN',809.66,'SELL','2024-01-26 16:03:00'),</v>
      </c>
      <c r="AW2" t="str">
        <v>(2941,278,'AMZN',514.75,'SELL','2024-05-13 19:05:00'),</v>
      </c>
      <c r="AX2" t="str">
        <v>(7922,821,'TSLA',104.05,'BUY','2024-05-06 10:46:00'),</v>
      </c>
      <c r="AY2" t="str">
        <v>(9952,504,'AMZN',808.15,'BUY','2024-03-23 19:01:00'),</v>
      </c>
      <c r="AZ2" t="str">
        <v>(5751,483,'META',962.77,'SELL','2024-01-12 16:26:00'),</v>
      </c>
      <c r="BA2" t="str">
        <v>(4168,689,'MSFT',782.52,'BUY','2024-02-28 20:54:00'),</v>
      </c>
      <c r="BB2" t="str">
        <v>(5705,770,'AMZN',520.88,'BUY','2024-03-29 08:04:00'),</v>
      </c>
      <c r="BC2" t="str">
        <v>(5751,415,'TSLA',395.0,'BUY','2024-01-04 07:41:00'),</v>
      </c>
      <c r="BD2" t="str">
        <v>(7938,945,'TSLA',851.97,'SELL','2024-02-22 21:24:00'),</v>
      </c>
      <c r="BE2" t="str">
        <v>(5751,449,'AMZN',775.08,'SELL','2024-01-27 20:47:00'),</v>
      </c>
      <c r="BF2" t="str">
        <v>(7922,66,'TSLA',750.49,'BUY','2024-04-13 12:49:00'),</v>
      </c>
      <c r="BG2" t="str">
        <v>(5751,117,'MSFT',681.87,'BUY','2024-02-29 11:49:00'),</v>
      </c>
      <c r="BH2" t="str">
        <v>(5751,275,'AMZN',376.4,'SELL','2024-01-08 02:06:00'),</v>
      </c>
      <c r="BI2" t="str">
        <v>(5705,993,'MSFT',365.78,'BUY','2024-03-21 00:55:00'),</v>
      </c>
      <c r="BJ2" t="str">
        <v>(7531,909,'AMZN',118.13,'SELL','2024-05-22 08:43:00'),</v>
      </c>
      <c r="BK2" t="str">
        <v>(9952,337,'META',572.53,'BUY','2024-01-08 06:49:00'),</v>
      </c>
      <c r="BL2" t="str">
        <v>(7531,23,'MSFT',642.09,'BUY','2024-03-03 07:49:00'),</v>
      </c>
      <c r="BM2" t="str">
        <v>(7531,811,'META',360.31,'SELL','2024-02-17 02:41:00'),</v>
      </c>
      <c r="BN2" t="str">
        <v>(4669,483,'META',200.37,'SELL','2024-02-21 03:09:00'),</v>
      </c>
      <c r="BO2" t="str">
        <v>(4168,881,'MSFT',811.67,'BUY','2024-04-17 05:52:00'),</v>
      </c>
      <c r="BP2" t="str">
        <v>(1691,850,'AMZN',276.17,'BUY','2024-01-14 09:54:00'),</v>
      </c>
      <c r="BQ2" t="str">
        <v>(7938,769,'TSLA',411.82,'BUY','2024-05-13 07:00:00'),</v>
      </c>
      <c r="BR2" t="str">
        <v>(7938,700,'TSLA',632.45,'SELL','2024-02-25 03:41:00'),</v>
      </c>
      <c r="BS2" t="str">
        <v>(5258,134,'TSLA',977.89,'BUY','2024-05-30 18:23:00'),</v>
      </c>
      <c r="BT2" t="str">
        <v>(4168,245,'META',393.14,'BUY','2024-05-08 07:29:00'),</v>
      </c>
      <c r="BU2" t="str">
        <v>(4168,223,'MSFT',353.19,'BUY','2024-01-27 15:04:00'),</v>
      </c>
      <c r="BV2" t="str">
        <v>(5258,700,'MSFT',471.25,'BUY','2024-03-30 18:46:00'),</v>
      </c>
      <c r="BW2" t="str">
        <v>(2941,267,'MSFT',639.44,'SELL','2024-04-13 00:10:00'),</v>
      </c>
      <c r="BX2" t="str">
        <v>(4168,725,'TSLA',785.92,'BUY','2024-05-13 08:03:00'),</v>
      </c>
      <c r="BY2" t="str">
        <v>(7922,522,'META',666.09,'BUY','2024-03-02 02:49:00'),</v>
      </c>
      <c r="BZ2" t="str">
        <v>(4710,813,'MSFT',380.02,'SELL','2024-01-04 15:18:00'),</v>
      </c>
      <c r="CA2" t="str">
        <v>(7531,459,'AMZN',386.75,'BUY','2024-02-19 11:09:00'),</v>
      </c>
      <c r="CB2" t="str">
        <v>(7938,847,'MSFT',952.52,'BUY','2024-02-18 19:25:00'),</v>
      </c>
      <c r="CC2" t="str">
        <v>(7922,839,'AMZN',808.49,'SELL','2024-03-22 04:04:00'),</v>
      </c>
      <c r="CD2" t="str">
        <v>(5258,321,'TSLA',207.61,'BUY','2024-02-20 21:38:00'),</v>
      </c>
      <c r="CE2" t="str">
        <v>(7531,927,'TSLA',191.14,'BUY','2024-01-16 07:33:00'),</v>
      </c>
      <c r="CF2" t="str">
        <v>(6298,409,'AMZN',981.87,'BUY','2024-02-25 11:38:00'),</v>
      </c>
      <c r="CG2" t="str">
        <v>(5297,213,'META',975.01,'SELL','2024-03-27 10:36:00'),</v>
      </c>
      <c r="CH2" t="str">
        <v>(7938,166,'AMZN',362.01,'BUY','2024-05-30 14:47:00'),</v>
      </c>
      <c r="CI2" t="str">
        <v>(5751,619,'MSFT',503.32,'BUY','2024-05-29 20:14:00'),</v>
      </c>
      <c r="CJ2" t="str">
        <v>(9094,546,'MSFT',134.91,'SELL','2024-03-08 16:01:00'),</v>
      </c>
      <c r="CK2" t="str">
        <v>(4669,227,'META',926.13,'BUY','2024-04-30 07:54:00'),</v>
      </c>
      <c r="CL2" t="str">
        <v>(5258,8,'TSLA',311.81,'SELL','2024-03-08 20:25:00'),</v>
      </c>
      <c r="CM2" t="str">
        <v>(4168,812,'META',554.43,'SELL','2024-03-25 21:07:00'),</v>
      </c>
      <c r="CN2" t="str">
        <v>(5297,919,'META',718.55,'SELL','2024-02-08 05:04:00'),</v>
      </c>
      <c r="CO2" t="str">
        <v>(2941,672,'META',341.72,'SELL','2024-03-18 06:52:00'),</v>
      </c>
      <c r="CP2" t="str">
        <v>(4669,755,'TSLA',150.05,'SELL','2024-04-16 13:46:00'),</v>
      </c>
      <c r="CQ2" t="str">
        <v>(7531,323,'TSLA',453.81,'SELL','2024-03-16 05:51:00'),</v>
      </c>
      <c r="CR2" t="str">
        <v>(5258,314,'AMZN',619.22,'BUY','2024-05-05 05:51:00'),</v>
      </c>
      <c r="CS2" t="str">
        <v>(4710,110,'META',653.44,'SELL','2024-05-11 15:03:00'),</v>
      </c>
      <c r="CT2" t="str">
        <v>(7922,275,'AMZN',220.84,'SELL','2024-04-20 09:39:00'),</v>
      </c>
      <c r="CU2" t="str">
        <v>(7531,262,'META',716.1,'SELL','2024-05-23 21:58:00'),</v>
      </c>
      <c r="CV2" t="str">
        <v>(7531,35,'TSLA',808.01,'SELL','2024-01-16 19:17:00'),</v>
      </c>
      <c r="CW2" t="str">
        <v>(1691,629,'META',177.22,'SELL','2024-03-04 09:17:00'),</v>
      </c>
      <c r="CX2" t="str">
        <v>(9952,768,'AMZN',764.23,'BUY','2024-02-27 16:31:00'),</v>
      </c>
      <c r="CY2" t="str">
        <v>(4168,558,'TSLA',211.4,'SELL','2024-01-31 06:04:00'),</v>
      </c>
      <c r="CZ2" t="str">
        <v>(2941,48,'AMZN',528.02,'SELL','2024-02-07 19:18:00'),</v>
      </c>
      <c r="DA2" t="str">
        <v>(4669,276,'AMZN',445.5,'SELL','2024-05-30 14:22:00'),</v>
      </c>
      <c r="DB2" t="str">
        <v>(4710,165,'MSFT',691.4,'SELL','2024-03-02 01:58:00'),</v>
      </c>
      <c r="DC2" t="str">
        <v>(5297,607,'TSLA',826.96,'BUY','2024-05-05 19:12:00'),</v>
      </c>
      <c r="DD2" t="str">
        <v>(7922,679,'AMZN',516.61,'BUY','2024-01-11 18:22:00'),</v>
      </c>
      <c r="DE2" t="str">
        <v>(7922,344,'AMZN',887.43,'SELL','2024-05-01 03:51:00'),</v>
      </c>
      <c r="DF2" t="str">
        <v>(4710,871,'AMZN',690.69,'BUY','2024-02-11 18:25:00'),</v>
      </c>
      <c r="DG2" t="str">
        <v>(9952,586,'TSLA',645.92,'SELL','2024-03-22 10:14:00'),</v>
      </c>
      <c r="DH2" t="str">
        <v>(7922,170,'MSFT',154.26,'BUY','2024-04-17 03:00:00'),</v>
      </c>
      <c r="DI2" t="str">
        <v>(4710,935,'META',425.45,'SELL','2024-03-23 04:42:00'),</v>
      </c>
      <c r="DJ2" t="str">
        <v>(2941,467,'TSLA',515.87,'SELL','2024-01-07 17:08:00'),</v>
      </c>
      <c r="DK2" t="str">
        <v>(5705,984,'AMZN',962.39,'BUY','2024-01-25 16:35:00'),</v>
      </c>
      <c r="DL2" t="str">
        <v>(9094,980,'MSFT',804.71,'SELL','2024-05-02 09:42:00'),</v>
      </c>
      <c r="DM2" t="str">
        <v>(4669,231,'META',690.56,'SELL','2024-01-09 17:15:00'),</v>
      </c>
      <c r="DN2" t="str">
        <v>(5751,447,'MSFT',943.88,'BUY','2024-02-09 08:31:00'),</v>
      </c>
      <c r="DO2" t="str">
        <v>(7938,176,'AMZN',809.94,'SELL','2024-01-21 21:47:00'),</v>
      </c>
      <c r="DP2" t="str">
        <v>(7531,854,'AMZN',739.17,'BUY','2024-04-19 04:41:00'),</v>
      </c>
      <c r="DQ2" t="str">
        <v>(7938,911,'META',883.49,'BUY','2024-05-04 05:23:00'),</v>
      </c>
      <c r="DR2" t="str">
        <v>(5297,228,'TSLA',875.57,'BUY','2024-04-14 21:09:00'),</v>
      </c>
      <c r="DS2" t="str">
        <v>(7938,547,'TSLA',733.09,'BUY','2024-05-12 20:44:00'),</v>
      </c>
      <c r="DT2" t="str">
        <v>(1691,668,'MSFT',654.85,'SELL','2024-02-13 02:42:00'),</v>
      </c>
      <c r="DU2" t="str">
        <v>(4710,583,'MSFT',136.7,'BUY','2024-01-25 11:53:00'),</v>
      </c>
      <c r="DV2" t="str">
        <v>(5751,764,'AMZN',498.11,'SELL','2024-01-04 22:23:00'),</v>
      </c>
      <c r="DW2" t="str">
        <v>(4669,271,'MSFT',631.48,'SELL','2024-01-24 06:58:00'),</v>
      </c>
      <c r="DX2" t="str">
        <v>(4710,367,'META',670.42,'BUY','2024-04-11 19:01:00'),</v>
      </c>
      <c r="DY2" t="str">
        <v>(5705,919,'TSLA',626.57,'SELL','2024-05-10 12:50:00'),</v>
      </c>
      <c r="DZ2" t="str">
        <v>(9094,643,'TSLA',625.11,'BUY','2024-05-04 01:58:00'),</v>
      </c>
      <c r="EA2" t="str">
        <v>(4168,266,'MSFT',375.4,'BUY','2024-03-21 18:38:00'),</v>
      </c>
      <c r="EB2" t="str">
        <v>(7531,877,'META',189.75,'SELL','2024-01-07 09:25:00'),</v>
      </c>
      <c r="EC2" t="str">
        <v>(4669,552,'META',502.55,'SELL','2024-02-13 06:20:00'),</v>
      </c>
      <c r="ED2" t="str">
        <v>(5297,703,'META',218.38,'SELL','2024-02-02 06:21:00'),</v>
      </c>
      <c r="EE2" t="str">
        <v>(7938,578,'AMZN',938.28,'SELL','2024-02-29 03:25:00'),</v>
      </c>
      <c r="EF2" t="str">
        <v>(4669,142,'AMZN',263.05,'SELL','2024-04-12 01:14:00'),</v>
      </c>
      <c r="EG2" t="str">
        <v>(9094,939,'META',996.61,'BUY','2024-01-12 23:03:00'),</v>
      </c>
      <c r="EH2" t="str">
        <v>(2941,530,'TSLA',444.84,'SELL','2024-03-23 21:04:00'),</v>
      </c>
      <c r="EI2" t="str">
        <v>(9952,288,'META',465.57,'SELL','2024-02-16 08:29:00'),</v>
      </c>
      <c r="EJ2" t="str">
        <v>(9094,101,'MSFT',452.94,'BUY','2024-01-02 09:59:00'),</v>
      </c>
      <c r="EK2" t="str">
        <v>(4669,674,'MSFT',313.47,'SELL','2024-05-26 20:20:00'),</v>
      </c>
      <c r="EL2" t="str">
        <v>(4168,604,'TSLA',577.52,'SELL','2024-05-04 17:40:00'),</v>
      </c>
      <c r="EM2" t="str">
        <v>(2941,899,'AMZN',548.51,'BUY','2024-04-15 15:52:00'),</v>
      </c>
      <c r="EN2" t="str">
        <v>(7922,274,'META',796.81,'BUY','2024-04-26 04:36:00'),</v>
      </c>
      <c r="EO2" t="str">
        <v>(1691,701,'TSLA',342.53,'BUY','2024-04-07 06:36:00'),</v>
      </c>
      <c r="EP2" t="str">
        <v>(4669,950,'META',696.91,'SELL','2024-05-25 09:04:00'),</v>
      </c>
      <c r="EQ2" t="str">
        <v>(5297,791,'AMZN',676.84,'SELL','2024-01-22 05:58:00'),</v>
      </c>
      <c r="ER2" t="str">
        <v>(7531,980,'MSFT',993.11,'SELL','2024-04-20 15:36:00'),</v>
      </c>
      <c r="ES2" t="str">
        <v>(2941,636,'MSFT',298.98,'BUY','2024-02-12 18:07:00'),</v>
      </c>
      <c r="ET2" t="str">
        <v>(5751,79,'AMZN',834.42,'BUY','2024-05-29 05:34:00'),</v>
      </c>
      <c r="EU2" t="str">
        <v>(6298,283,'AMZN',124.17,'BUY','2024-03-07 14:06:00'),</v>
      </c>
      <c r="EV2" t="str">
        <v>(7531,753,'TSLA',430.28,'BUY','2024-01-12 01:05:00'),</v>
      </c>
      <c r="EW2" t="str">
        <v>(4669,47,'AMZN',614.26,'BUY','2024-02-13 03:45:00'),</v>
      </c>
      <c r="EX2" t="str">
        <v>(2941,303,'META',346.49,'SELL','2024-04-08 16:45:00'),</v>
      </c>
      <c r="EY2" t="str">
        <v>(4710,556,'TSLA',586.97,'SELL','2024-02-16 13:21:00'),</v>
      </c>
      <c r="EZ2" t="str">
        <v>(4669,959,'TSLA',980.54,'SELL','2024-02-09 02:05:00'),</v>
      </c>
      <c r="FA2" t="str">
        <v>(2941,673,'MSFT',292.62,'SELL','2024-04-22 23:57:00'),</v>
      </c>
      <c r="FB2" t="str">
        <v>(7922,616,'AMZN',177.14,'BUY','2024-04-24 22:14:00'),</v>
      </c>
      <c r="FC2" t="str">
        <v>(7938,186,'META',802.31,'SELL','2024-04-09 10:54:00'),</v>
      </c>
      <c r="FD2" t="str">
        <v>(2941,239,'TSLA',980.46,'SELL','2024-04-26 11:54:00'),</v>
      </c>
      <c r="FE2" t="str">
        <v>(6298,106,'TSLA',724.47,'SELL','2024-01-25 13:38:00'),</v>
      </c>
      <c r="FF2" t="str">
        <v>(7531,920,'MSFT',219.51,'BUY','2024-03-27 20:45:00'),</v>
      </c>
      <c r="FG2" t="str">
        <v>(5258,167,'META',814.61,'SELL','2024-02-22 22:51:00'),</v>
      </c>
      <c r="FH2" t="str">
        <v>(7531,589,'AMZN',440.45,'BUY','2024-03-10 10:56:00'),</v>
      </c>
      <c r="FI2" t="str">
        <v>(5297,349,'AMZN',665.75,'SELL','2024-03-11 16:14:00'),</v>
      </c>
      <c r="FJ2" t="str">
        <v>(9952,941,'TSLA',376.66,'SELL','2024-01-01 13:23:00'),</v>
      </c>
      <c r="FK2" t="str">
        <v>(7531,326,'AMZN',932.77,'SELL','2024-04-18 16:28:00'),</v>
      </c>
      <c r="FL2" t="str">
        <v>(7531,14,'AMZN',881.23,'BUY','2024-05-06 23:14:00'),</v>
      </c>
      <c r="FM2" t="str">
        <v>(5258,140,'MSFT',434.05,'BUY','2024-02-03 13:42:00'),</v>
      </c>
      <c r="FN2" t="str">
        <v>(6298,371,'MSFT',902.37,'BUY','2024-03-17 22:19:00'),</v>
      </c>
      <c r="FO2" t="str">
        <v>(5751,499,'TSLA',492.34,'SELL','2024-02-03 18:22:00'),</v>
      </c>
      <c r="FP2" t="str">
        <v>(4710,894,'MSFT',819.25,'BUY','2024-03-16 22:18:00'),</v>
      </c>
      <c r="FQ2" t="str">
        <v>(4710,382,'MSFT',425.98,'SELL','2024-05-15 12:29:00'),</v>
      </c>
      <c r="FR2" t="str">
        <v>(9952,220,'AMZN',739.76,'BUY','2024-01-09 05:28:00'),</v>
      </c>
      <c r="FS2" t="str">
        <v>(4669,253,'MSFT',410.57,'BUY','2024-04-07 03:17:00'),</v>
      </c>
      <c r="FT2" t="str">
        <v>(9094,623,'TSLA',226.48,'BUY','2024-05-10 05:20:00'),</v>
      </c>
      <c r="FU2" t="str">
        <v>(7922,644,'AMZN',347.58,'BUY','2024-02-23 00:48:00'),</v>
      </c>
      <c r="FV2" t="str">
        <v>(5297,504,'TSLA',939.01,'BUY','2024-01-30 03:37:00'),</v>
      </c>
      <c r="FW2" t="str">
        <v>(4168,851,'META',276.96,'SELL','2024-05-22 13:00:00'),</v>
      </c>
      <c r="FX2" t="str">
        <v>(6298,754,'TSLA',982.6,'BUY','2024-03-05 22:06:00'),</v>
      </c>
      <c r="FY2" t="str">
        <v>(7531,717,'MSFT',945.07,'SELL','2024-02-02 22:29:00'),</v>
      </c>
      <c r="FZ2" t="str">
        <v>(9952,546,'MSFT',694.91,'BUY','2024-01-21 14:09:00'),</v>
      </c>
      <c r="GA2" t="str">
        <v>(9094,128,'META',722.22,'BUY','2024-05-16 09:07:00'),</v>
      </c>
      <c r="GB2" t="str">
        <v>(1691,784,'TSLA',639.67,'SELL','2024-03-15 17:21:00'),</v>
      </c>
      <c r="GC2" t="str">
        <v>(6298,857,'MSFT',221.54,'SELL','2024-02-28 00:23:00'),</v>
      </c>
      <c r="GD2" t="str">
        <v>(7938,225,'TSLA',601.72,'BUY','2024-04-05 18:58:00'),</v>
      </c>
      <c r="GE2" t="str">
        <v>(7531,88,'TSLA',488.62,'BUY','2024-05-03 00:06:00'),</v>
      </c>
      <c r="GF2" t="str">
        <v>(7922,447,'META',469.81,'SELL','2024-02-06 14:08:00'),</v>
      </c>
      <c r="GG2" t="str">
        <v>(5705,526,'MSFT',516.06,'SELL','2024-04-01 09:27:00'),</v>
      </c>
      <c r="GH2" t="str">
        <v>(2941,926,'MSFT',839.64,'SELL','2024-05-07 03:00:00'),</v>
      </c>
      <c r="GI2" t="str">
        <v>(4669,74,'TSLA',517.17,'SELL','2024-05-11 09:21:00'),</v>
      </c>
      <c r="GJ2" t="str">
        <v>(4710,715,'META',364.24,'SELL','2024-02-04 23:47:00'),</v>
      </c>
      <c r="GK2" t="str">
        <v>(2941,144,'TSLA',363.05,'SELL','2024-04-01 08:04:00'),</v>
      </c>
      <c r="GL2" t="str">
        <v>(9094,214,'TSLA',555.15,'SELL','2024-02-06 05:53:00'),</v>
      </c>
      <c r="GM2" t="str">
        <v>(7938,817,'META',143.19,'SELL','2024-01-06 15:44:00'),</v>
      </c>
      <c r="GN2" t="str">
        <v>(4168,288,'AMZN',650.05,'SELL','2024-03-04 21:14:00'),</v>
      </c>
      <c r="GO2" t="str">
        <v>(9952,964,'META',909.84,'SELL','2024-03-27 13:38:00'),</v>
      </c>
      <c r="GP2" t="str">
        <v>(4710,876,'AMZN',645.25,'SELL','2024-05-04 01:41:00'),</v>
      </c>
      <c r="GQ2" t="str">
        <v>(5297,294,'AMZN',894.29,'SELL','2024-03-02 04:39:00'),</v>
      </c>
      <c r="GR2" t="str">
        <v>(5751,194,'MSFT',641.82,'BUY','2024-02-14 05:40:00'),</v>
      </c>
      <c r="GS2" t="str">
        <v>(4168,188,'META',979.2,'BUY','2024-02-18 09:23:00'),</v>
      </c>
      <c r="GT2" t="str">
        <v>(7922,441,'AMZN',853.1,'SELL','2024-01-12 14:57:00'),</v>
      </c>
      <c r="GU2" t="str">
        <v>(5258,691,'MSFT',169.78,'SELL','2024-01-02 07:36:00'),</v>
      </c>
      <c r="GV2" t="str">
        <v>(5297,826,'META',562.29,'SELL','2024-02-09 16:23:00'),</v>
      </c>
      <c r="GW2" t="str">
        <v>(4710,104,'MSFT',487.22,'BUY','2024-04-07 11:28:00'),</v>
      </c>
      <c r="GX2" t="str">
        <v>(2941,518,'MSFT',726.73,'BUY','2024-04-22 10:32:00'),</v>
      </c>
      <c r="GY2" t="str">
        <v>(2941,501,'AMZN',700.27,'SELL','2024-03-29 03:41:00'),</v>
      </c>
      <c r="GZ2" t="str">
        <v>(2941,187,'TSLA',108.41,'BUY','2024-01-26 02:22:00'),</v>
      </c>
      <c r="HA2" t="str">
        <v>(7531,688,'MSFT',244.33,'SELL','2024-03-31 23:24:00'),</v>
      </c>
      <c r="HB2" t="str">
        <v>(6298,552,'MSFT',679.95,'BUY','2024-01-09 06:16:00'),</v>
      </c>
      <c r="HC2" t="str">
        <v>(7922,456,'MSFT',775.48,'BUY','2024-04-28 22:05:00'),</v>
      </c>
      <c r="HD2" t="str">
        <v>(9094,65,'TSLA',451.47,'SELL','2024-02-18 02:13:00'),</v>
      </c>
      <c r="HE2" t="str">
        <v>(7922,36,'TSLA',682.59,'BUY','2024-02-07 19:02:00'),</v>
      </c>
      <c r="HF2" t="str">
        <v>(5751,486,'META',594.59,'SELL','2024-05-05 11:28:00'),</v>
      </c>
      <c r="HG2" t="str">
        <v>(4669,818,'META',390.65,'BUY','2024-01-18 07:30:00'),</v>
      </c>
      <c r="HH2" t="str">
        <v>(5705,466,'AMZN',940.26,'BUY','2024-01-29 19:34:00'),</v>
      </c>
      <c r="HI2" t="str">
        <v>(7922,399,'MSFT',189.16,'BUY','2024-02-17 04:02:00'),</v>
      </c>
      <c r="HJ2" t="str">
        <v>(9952,252,'AMZN',561.97,'SELL','2024-01-31 07:59:00'),</v>
      </c>
      <c r="HK2" t="str">
        <v>(2941,587,'META',452.93,'SELL','2024-05-16 08:42:00'),</v>
      </c>
      <c r="HL2" t="str">
        <v>(5705,81,'TSLA',489.04,'BUY','2024-03-07 04:26:00'),</v>
      </c>
      <c r="HM2" t="str">
        <v>(1691,744,'TSLA',765.5,'BUY','2024-04-21 14:19:00'),</v>
      </c>
      <c r="HN2" t="str">
        <v>(4710,236,'META',296.07,'BUY','2024-04-08 11:04:00'),</v>
      </c>
      <c r="HO2" t="str">
        <v>(7922,279,'META',419.69,'BUY','2024-03-21 10:34:00'),</v>
      </c>
      <c r="HP2" t="str">
        <v>(6298,266,'AMZN',709.65,'SELL','2024-03-19 22:41:00'),</v>
      </c>
      <c r="HQ2" t="str">
        <v>(4669,508,'TSLA',277.93,'BUY','2024-02-02 12:24:00'),</v>
      </c>
      <c r="HR2" t="str">
        <v>(4168,489,'AMZN',562.8,'BUY','2024-01-14 16:52:00'),</v>
      </c>
      <c r="HS2" t="str">
        <v>(5258,282,'META',256.56,'BUY','2024-05-07 11:48:00'),</v>
      </c>
      <c r="HT2" t="str">
        <v>(9094,818,'AMZN',980.78,'BUY','2024-01-22 20:37:00'),</v>
      </c>
      <c r="HU2" t="str">
        <v>(7922,375,'MSFT',648.55,'SELL','2024-01-02 12:42:00'),</v>
      </c>
      <c r="HV2" t="str">
        <v>(9952,740,'META',969.03,'BUY','2024-05-29 11:20:00'),</v>
      </c>
      <c r="HW2" t="str">
        <v>(4168,117,'MSFT',788.46,'BUY','2024-04-09 13:13:00'),</v>
      </c>
      <c r="HX2" t="str">
        <v>(9094,419,'AMZN',334.56,'SELL','2024-03-25 21:32:00'),</v>
      </c>
      <c r="HY2" t="str">
        <v>(4669,988,'MSFT',245.42,'SELL','2024-02-10 02:20:00'),</v>
      </c>
      <c r="HZ2" t="str">
        <v>(2941,237,'TSLA',813.23,'SELL','2024-01-29 18:08:00'),</v>
      </c>
      <c r="IA2" t="str">
        <v>(7922,138,'MSFT',527.37,'BUY','2024-05-25 05:17:00'),</v>
      </c>
      <c r="IB2" t="str">
        <v>(5297,902,'MSFT',124.98,'BUY','2024-05-15 10:37:00'),</v>
      </c>
      <c r="IC2" t="str">
        <v>(9952,84,'AMZN',440.16,'BUY','2024-01-20 02:30:00'),</v>
      </c>
      <c r="ID2" t="str">
        <v>(4168,483,'TSLA',656.42,'SELL','2024-05-25 16:24:00'),</v>
      </c>
      <c r="IE2" t="str">
        <v>(7922,831,'AMZN',307.19,'BUY','2024-05-22 13:11:00'),</v>
      </c>
      <c r="IF2" t="str">
        <v>(6298,513,'TSLA',779.23,'BUY','2024-02-21 22:10:00'),</v>
      </c>
      <c r="IG2" t="str">
        <v>(4669,304,'MSFT',716.47,'SELL','2024-01-06 19:33:00'),</v>
      </c>
      <c r="IH2" t="str">
        <v>(4168,420,'MSFT',158.32,'SELL','2024-05-21 12:44:00'),</v>
      </c>
      <c r="II2" t="str">
        <v>(5705,223,'TSLA',929.23,'SELL','2024-05-15 15:19:00'),</v>
      </c>
      <c r="IJ2" t="str">
        <v>(5297,834,'AMZN',345.63,'BUY','2024-05-10 10:58:00'),</v>
      </c>
      <c r="IK2" t="str">
        <v>(9952,791,'META',481.75,'BUY','2024-05-28 21:15:00'),</v>
      </c>
      <c r="IL2" t="str">
        <v>(5258,763,'AMZN',177.93,'BUY','2024-04-06 04:17:00'),</v>
      </c>
      <c r="IM2" t="str">
        <v>(2941,14,'MSFT',569.52,'BUY','2024-05-08 06:36:00'),</v>
      </c>
      <c r="IN2" t="str">
        <v>(9094,281,'MSFT',612.11,'SELL','2024-03-04 20:21:00'),</v>
      </c>
      <c r="IO2" t="str">
        <v>(5705,18,'AMZN',957.14,'BUY','2024-03-29 15:32:00'),</v>
      </c>
      <c r="IP2" t="str">
        <v>(9094,55,'META',508.46,'BUY','2024-05-18 22:05:00'),</v>
      </c>
      <c r="IQ2" t="str">
        <v>(7531,636,'TSLA',297.35,'BUY','2024-04-29 05:35:00'),</v>
      </c>
      <c r="IR2" t="str">
        <v>(5297,681,'META',418.13,'SELL','2024-02-23 18:44:00'),</v>
      </c>
      <c r="IS2" t="str">
        <v>(7922,621,'TSLA',277.64,'SELL','2024-02-14 10:05:00'),</v>
      </c>
      <c r="IT2" t="str">
        <v>(7531,886,'TSLA',854.78,'SELL','2024-03-08 03:52:00'),</v>
      </c>
      <c r="IU2" t="str">
        <v>(4168,612,'AMZN',634.94,'BUY','2024-03-22 20:58:00'),</v>
      </c>
      <c r="IV2" t="str">
        <v>(5297,539,'MSFT',219.05,'BUY','2024-03-07 18:55:00'),</v>
      </c>
      <c r="IW2" t="str">
        <v>(6298,272,'META',647.04,'SELL','2024-01-29 13:08:00'),</v>
      </c>
      <c r="IX2" t="str">
        <v>(7531,949,'META',100.7,'SELL','2024-05-18 08:50:00'),</v>
      </c>
      <c r="IY2" t="str">
        <v>(9952,865,'AMZN',734.83,'SELL','2024-01-20 00:07:00'),</v>
      </c>
      <c r="IZ2" t="str">
        <v>(4710,720,'TSLA',325.74,'BUY','2024-01-28 17:53:00'),</v>
      </c>
      <c r="JA2" t="str">
        <v>(5751,534,'AMZN',815.94,'BUY','2024-02-28 08:52:00'),</v>
      </c>
      <c r="JB2" t="str">
        <v>(5751,390,'AMZN',356.92,'BUY','2024-05-26 01:12:00'),</v>
      </c>
      <c r="JC2" t="str">
        <v>(5258,315,'AMZN',633.68,'BUY','2024-05-15 11:58:00'),</v>
      </c>
      <c r="JD2" t="str">
        <v>(9952,59,'TSLA',222.14,'SELL','2024-02-19 16:22:00'),</v>
      </c>
      <c r="JE2" t="str">
        <v>(9094,475,'TSLA',512.38,'BUY','2024-02-18 15:45:00'),</v>
      </c>
      <c r="JF2" t="str">
        <v>(9094,741,'AMZN',970.07,'SELL','2024-03-05 21:44:00'),</v>
      </c>
      <c r="JG2" t="str">
        <v>(5258,948,'TSLA',841.66,'SELL','2024-05-24 13:37:00'),</v>
      </c>
      <c r="JH2" t="str">
        <v>(5705,256,'TSLA',570.4,'BUY','2024-03-13 19:38:00'),</v>
      </c>
      <c r="JI2" t="str">
        <v>(5297,567,'TSLA',878.39,'SELL','2024-02-12 15:38:00'),</v>
      </c>
      <c r="JJ2" t="str">
        <v>(2941,34,'META',375.13,'BUY','2024-03-20 00:22:00'),</v>
      </c>
      <c r="JK2" t="str">
        <v>(9952,894,'MSFT',792.64,'BUY','2024-03-11 05:59:00'),</v>
      </c>
      <c r="JL2" t="str">
        <v>(9094,306,'MSFT',896.56,'SELL','2024-04-03 07:21:00'),</v>
      </c>
      <c r="JM2" t="str">
        <v>(6298,373,'AMZN',243.3,'BUY','2024-03-15 04:50:00'),</v>
      </c>
      <c r="JN2" t="str">
        <v>(7938,586,'META',767.71,'BUY','2024-04-25 09:01:00'),</v>
      </c>
      <c r="JO2" t="str">
        <v>(1691,444,'MSFT',165.26,'SELL','2024-01-24 00:07:00'),</v>
      </c>
      <c r="JP2" t="str">
        <v>(6298,656,'TSLA',800.27,'SELL','2024-05-21 15:20:00'),</v>
      </c>
      <c r="JQ2" t="str">
        <v>(5751,260,'AMZN',287.62,'SELL','2024-01-24 17:16:00'),</v>
      </c>
      <c r="JR2" t="str">
        <v>(4168,412,'META',770.26,'SELL','2024-03-28 12:08:00'),</v>
      </c>
      <c r="JS2" t="str">
        <v>(5705,180,'TSLA',816.77,'BUY','2024-04-29 17:37:00'),</v>
      </c>
      <c r="JT2" t="str">
        <v>(5258,553,'AMZN',907.31,'SELL','2024-03-18 18:01:00'),</v>
      </c>
      <c r="JU2" t="str">
        <v>(4168,74,'TSLA',383.31,'SELL','2024-04-16 16:27:00'),</v>
      </c>
      <c r="JV2" t="str">
        <v>(1691,715,'TSLA',291.2,'BUY','2024-04-30 06:01:00'),</v>
      </c>
      <c r="JW2" t="str">
        <v>(7922,786,'MSFT',719.68,'BUY','2024-05-14 07:48:00'),</v>
      </c>
      <c r="JX2" t="str">
        <v>(5751,352,'META',562.88,'BUY','2024-04-10 06:36:00'),</v>
      </c>
      <c r="JY2" t="str">
        <v>(5751,820,'META',341.59,'SELL','2024-03-24 01:47:00'),</v>
      </c>
      <c r="JZ2" t="str">
        <v>(4669,250,'TSLA',616.88,'BUY','2024-01-26 12:26:00'),</v>
      </c>
      <c r="KA2" t="str">
        <v>(5705,309,'MSFT',460.79,'BUY','2024-04-24 07:34:00'),</v>
      </c>
      <c r="KB2" t="str">
        <v>(5705,412,'AMZN',221.62,'SELL','2024-03-20 06:05:00'),</v>
      </c>
      <c r="KC2" t="str">
        <v>(4710,656,'META',385.62,'BUY','2024-02-07 23:31:00'),</v>
      </c>
      <c r="KD2" t="str">
        <v>(5705,565,'META',549.29,'BUY','2024-03-18 10:14:00'),</v>
      </c>
      <c r="KE2" t="str">
        <v>(6298,240,'META',903.9,'BUY','2024-01-29 19:40:00'),</v>
      </c>
      <c r="KF2" t="str">
        <v>(4710,866,'AMZN',562.13,'SELL','2024-03-07 11:05:00'),</v>
      </c>
      <c r="KG2" t="str">
        <v>(4168,424,'TSLA',540.99,'BUY','2024-03-06 11:39:00'),</v>
      </c>
      <c r="KH2" t="str">
        <v>(6298,107,'AMZN',300.99,'SELL','2024-04-05 00:37:00'),</v>
      </c>
      <c r="KI2" t="str">
        <v>(4168,24,'MSFT',839.43,'SELL','2024-05-10 10:17:00'),</v>
      </c>
      <c r="KJ2" t="str">
        <v>(5705,996,'AMZN',360.16,'BUY','2024-01-31 09:34:00'),</v>
      </c>
      <c r="KK2" t="str">
        <v>(6298,778,'AMZN',238.25,'SELL','2024-03-05 21:28:00'),</v>
      </c>
      <c r="KL2" t="str">
        <v>(5297,643,'MSFT',251.5,'BUY','2024-05-12 06:02:00'),</v>
      </c>
      <c r="KM2" t="str">
        <v>(6298,418,'META',517.2,'SELL','2024-02-06 10:03:00'),</v>
      </c>
      <c r="KN2" t="str">
        <v>(7938,196,'META',305.96,'SELL','2024-03-15 19:33:00'),</v>
      </c>
      <c r="KO2" t="str">
        <v>(9094,389,'META',882.28,'BUY','2024-04-26 15:15:00'),</v>
      </c>
      <c r="KP2" t="str">
        <v>(9952,307,'MSFT',758.82,'SELL','2024-03-19 05:09:00'),</v>
      </c>
      <c r="KQ2" t="str">
        <v>(1691,499,'TSLA',381.78,'SELL','2024-01-06 14:50:00'),</v>
      </c>
      <c r="KR2" t="str">
        <v>(5297,885,'AMZN',220.04,'SELL','2024-05-28 22:48:00'),</v>
      </c>
      <c r="KS2" t="str">
        <v>(1691,281,'META',371.16,'SELL','2024-04-22 12:23:00'),</v>
      </c>
      <c r="KT2" t="str">
        <v>(4168,566,'META',890.64,'SELL','2024-01-12 19:15:00'),</v>
      </c>
      <c r="KU2" t="str">
        <v>(5705,860,'AMZN',564.98,'BUY','2024-02-10 06:35:00'),</v>
      </c>
      <c r="KV2" t="str">
        <v>(4669,548,'TSLA',199.91,'SELL','2024-03-12 22:05:00'),</v>
      </c>
      <c r="KW2" t="str">
        <v>(9952,42,'AMZN',121.57,'BUY','2024-05-06 04:00:00'),</v>
      </c>
      <c r="KX2" t="str">
        <v>(9952,196,'TSLA',743.32,'SELL','2024-02-27 05:05:00'),</v>
      </c>
      <c r="KY2" t="str">
        <v>(5705,898,'META',204.77,'SELL','2024-02-16 20:28:00'),</v>
      </c>
      <c r="KZ2" t="str">
        <v>(4669,972,'TSLA',363.01,'BUY','2024-05-01 12:19:00'),</v>
      </c>
      <c r="LA2" t="str">
        <v>(7922,402,'AMZN',745.59,'BUY','2024-05-11 16:30:00'),</v>
      </c>
      <c r="LB2" t="str">
        <v>(7531,82,'MSFT',416.86,'BUY','2024-04-03 12:55:00'),</v>
      </c>
      <c r="LC2" t="str">
        <v>(5751,708,'AMZN',811.27,'SELL','2024-04-27 23:11:00'),</v>
      </c>
      <c r="LD2" t="str">
        <v>(5705,129,'AMZN',880.51,'SELL','2024-05-07 00:02:00'),</v>
      </c>
      <c r="LE2" t="str">
        <v>(1691,320,'TSLA',357.91,'BUY','2024-03-21 21:27:00'),</v>
      </c>
      <c r="LF2" t="str">
        <v>(9952,377,'AMZN',729.25,'BUY','2024-01-05 09:37:00'),</v>
      </c>
      <c r="LG2" t="str">
        <v>(9952,768,'META',760.04,'BUY','2024-05-20 17:39:00'),</v>
      </c>
      <c r="LH2" t="str">
        <v>(1691,149,'MSFT',431.18,'SELL','2024-01-25 01:53:00'),</v>
      </c>
      <c r="LI2" t="str">
        <v>(5705,670,'MSFT',119.85,'SELL','2024-05-14 15:24:00'),</v>
      </c>
      <c r="LJ2" t="str">
        <v>(7922,83,'TSLA',350.84,'SELL','2024-01-12 04:14:00'),</v>
      </c>
      <c r="LK2" t="str">
        <v>(7531,256,'META',812.79,'BUY','2024-03-03 22:07:00'),</v>
      </c>
      <c r="LL2" t="str">
        <v>(4168,29,'MSFT',776.62,'SELL','2024-04-04 04:41:00'),</v>
      </c>
      <c r="LM2" t="str">
        <v>(5751,885,'META',125.48,'SELL','2024-04-30 07:49:00'),</v>
      </c>
      <c r="LN2" t="str">
        <v>(1691,895,'MSFT',877.64,'SELL','2024-04-24 06:59:00'),</v>
      </c>
      <c r="LO2" t="str">
        <v>(9952,157,'AMZN',930.55,'SELL','2024-05-12 20:11:00'),</v>
      </c>
      <c r="LP2" t="str">
        <v>(4710,433,'META',246.94,'BUY','2024-03-05 02:49:00'),</v>
      </c>
      <c r="LQ2" t="str">
        <v>(5705,773,'AMZN',560.46,'BUY','2024-05-26 14:14:00'),</v>
      </c>
      <c r="LR2" t="str">
        <v>(7922,421,'TSLA',621.83,'SELL','2024-03-22 19:39:00'),</v>
      </c>
      <c r="LS2" t="str">
        <v>(4168,848,'META',552.08,'SELL','2024-02-15 09:53:00'),</v>
      </c>
      <c r="LT2" t="str">
        <v>(4710,541,'MSFT',688.04,'SELL','2024-04-09 22:37:00'),</v>
      </c>
      <c r="LU2" t="str">
        <v>(6298,187,'META',954.65,'BUY','2024-02-21 02:13:00'),</v>
      </c>
      <c r="LV2" t="str">
        <v>(2941,101,'AMZN',727.79,'BUY','2024-05-04 18:55:00'),</v>
      </c>
      <c r="LW2" t="str">
        <v>(5751,800,'META',409.51,'SELL','2024-05-22 10:31:00'),</v>
      </c>
      <c r="LX2" t="str">
        <v>(5751,446,'TSLA',281.01,'SELL','2024-04-19 10:50:00'),</v>
      </c>
      <c r="LY2" t="str">
        <v>(5297,823,'AMZN',968.93,'BUY','2024-03-27 23:01:00'),</v>
      </c>
      <c r="LZ2" t="str">
        <v>(4669,558,'META',168.72,'SELL','2024-02-10 10:28:00'),</v>
      </c>
      <c r="MA2" t="str">
        <v>(5751,161,'AMZN',181.17,'BUY','2024-03-07 17:44:00'),</v>
      </c>
      <c r="MB2" t="str">
        <v>(4710,386,'TSLA',573.55,'SELL','2024-03-16 00:58:00'),</v>
      </c>
      <c r="MC2" t="str">
        <v>(7531,885,'MSFT',698.62,'SELL','2024-04-25 04:37:00'),</v>
      </c>
      <c r="MD2" t="str">
        <v>(7922,223,'MSFT',230.7,'SELL','2024-02-14 00:27:00'),</v>
      </c>
      <c r="ME2" t="str">
        <v>(5705,947,'AMZN',317.71,'SELL','2024-05-23 18:44:00'),</v>
      </c>
      <c r="MF2" t="str">
        <v>(4710,488,'TSLA',512.43,'SELL','2024-01-18 07:48:00'),</v>
      </c>
      <c r="MG2" t="str">
        <v>(4168,462,'AMZN',881.46,'BUY','2024-01-18 01:48:00'),</v>
      </c>
      <c r="MH2" t="str">
        <v>(5705,554,'META',110.41,'BUY','2024-03-10 07:56:00'),</v>
      </c>
      <c r="MI2" t="str">
        <v>(2941,625,'AMZN',935.83,'SELL','2024-02-11 13:31:00'),</v>
      </c>
      <c r="MJ2" t="str">
        <v>(1691,203,'META',520.28,'BUY','2024-04-28 14:38:00'),</v>
      </c>
      <c r="MK2" t="str">
        <v>(1691,256,'META',348.15,'SELL','2024-01-31 10:14:00'),</v>
      </c>
      <c r="ML2" t="str">
        <v>(4168,468,'TSLA',817.56,'BUY','2024-01-24 08:53:00'),</v>
      </c>
      <c r="MM2" t="str">
        <v>(7922,792,'AMZN',217.77,'SELL','2024-03-06 13:02:00'),</v>
      </c>
      <c r="MN2" t="str">
        <v>(2941,318,'MSFT',587.71,'BUY','2024-01-10 04:30:00'),</v>
      </c>
      <c r="MO2" t="str">
        <v>(7938,633,'TSLA',426.04,'SELL','2024-03-10 20:07:00'),</v>
      </c>
      <c r="MP2" t="str">
        <v>(7922,839,'META',365.19,'BUY','2024-01-21 03:50:00'),</v>
      </c>
      <c r="MQ2" t="str">
        <v>(5705,205,'TSLA',969.17,'BUY','2024-01-02 14:52:00'),</v>
      </c>
      <c r="MR2" t="str">
        <v>(5258,316,'MSFT',848.1,'BUY','2024-02-19 00:42:00'),</v>
      </c>
      <c r="MS2" t="str">
        <v>(1691,956,'TSLA',299.42,'SELL','2024-05-07 10:03:00'),</v>
      </c>
      <c r="MT2" t="str">
        <v>(1691,689,'MSFT',723.35,'BUY','2024-05-29 15:15:00'),</v>
      </c>
      <c r="MU2" t="str">
        <v>(4168,33,'TSLA',786.36,'SELL','2024-01-07 19:48:00'),</v>
      </c>
      <c r="MV2" t="str">
        <v>(5297,13,'TSLA',708.09,'SELL','2024-04-24 01:07:00'),</v>
      </c>
      <c r="MW2" t="str">
        <v>(9094,828,'MSFT',545.95,'SELL','2024-03-04 16:01:00'),</v>
      </c>
      <c r="MX2" t="str">
        <v>(9952,700,'AMZN',882.65,'BUY','2024-04-16 07:21:00'),</v>
      </c>
      <c r="MY2" t="str">
        <v>(4669,934,'MSFT',238.07,'BUY','2024-02-27 21:47:00'),</v>
      </c>
      <c r="MZ2" t="str">
        <v>(4669,15,'MSFT',857.91,'SELL','2024-04-25 18:57:00'),</v>
      </c>
      <c r="NA2" t="str">
        <v>(1691,879,'MSFT',526.25,'BUY','2024-01-20 15:44:00'),</v>
      </c>
      <c r="NB2" t="str">
        <v>(7922,23,'META',451.77,'SELL','2024-01-02 15:25:00'),</v>
      </c>
      <c r="NC2" t="str">
        <v>(7938,138,'AMZN',584.8,'SELL','2024-02-26 19:31:00'),</v>
      </c>
      <c r="ND2" t="str">
        <v>(7922,75,'MSFT',764.87,'SELL','2024-02-18 08:18:00'),</v>
      </c>
      <c r="NE2" t="str">
        <v>(4168,379,'AMZN',885.88,'BUY','2024-01-19 02:26:00'),</v>
      </c>
      <c r="NF2" t="str">
        <v>(1691,311,'META',931.25,'SELL','2024-01-16 17:04:00'),</v>
      </c>
      <c r="NG2" t="str">
        <v>(5751,631,'TSLA',565.85,'SELL','2024-04-19 21:54:00'),</v>
      </c>
      <c r="NH2" t="str">
        <v>(2941,112,'TSLA',746.5,'SELL','2024-03-10 23:04:00'),</v>
      </c>
      <c r="NI2" t="str">
        <v>(9952,496,'TSLA',619.57,'BUY','2024-05-17 02:59:00'),</v>
      </c>
      <c r="NJ2" t="str">
        <v>(2941,186,'AMZN',115.5,'SELL','2024-01-11 19:54:00'),</v>
      </c>
      <c r="NK2" t="str">
        <v>(7938,406,'MSFT',126.32,'SELL','2024-02-03 00:48:00'),</v>
      </c>
      <c r="NL2" t="str">
        <v>(4710,1000,'AMZN',211.31,'SELL','2024-02-16 15:37:00'),</v>
      </c>
      <c r="NM2" t="str">
        <v>(7938,715,'AMZN',645.62,'SELL','2024-01-12 02:11:00'),</v>
      </c>
      <c r="NN2" t="str">
        <v>(5258,219,'AMZN',208.04,'BUY','2024-02-21 15:03:00'),</v>
      </c>
      <c r="NO2" t="str">
        <v>(9952,514,'AMZN',783.78,'BUY','2024-03-20 06:14:00'),</v>
      </c>
      <c r="NP2" t="str">
        <v>(2941,569,'MSFT',404.01,'SELL','2024-03-23 10:17:00'),</v>
      </c>
      <c r="NQ2" t="str">
        <v>(1691,440,'TSLA',253.25,'SELL','2024-04-19 21:57:00'),</v>
      </c>
      <c r="NR2" t="str">
        <v>(4710,957,'AMZN',830.37,'BUY','2024-01-31 10:54:00'),</v>
      </c>
      <c r="NS2" t="str">
        <v>(4710,62,'TSLA',345.44,'BUY','2024-04-20 16:18:00'),</v>
      </c>
      <c r="NT2" t="str">
        <v>(5705,559,'MSFT',571.34,'BUY','2024-02-22 06:28:00'),</v>
      </c>
      <c r="NU2" t="str">
        <v>(1691,273,'META',489.92,'BUY','2024-04-20 21:01:00'),</v>
      </c>
      <c r="NV2" t="str">
        <v>(7922,929,'META',977.36,'BUY','2024-03-24 22:39:00'),</v>
      </c>
      <c r="NW2" t="str">
        <v>(5751,166,'META',932.22,'SELL','2024-02-23 11:46:00'),</v>
      </c>
      <c r="NX2" t="str">
        <v>(5258,233,'MSFT',382.31,'BUY','2024-04-13 07:34:00'),</v>
      </c>
      <c r="NY2" t="str">
        <v>(9094,56,'AMZN',409.08,'SELL','2024-01-16 22:31:00'),</v>
      </c>
      <c r="NZ2" t="str">
        <v>(6298,759,'MSFT',551.26,'BUY','2024-01-16 20:35:00'),</v>
      </c>
      <c r="OA2" t="str">
        <v>(5258,210,'MSFT',807.37,'SELL','2024-04-05 08:53:00'),</v>
      </c>
      <c r="OB2" t="str">
        <v>(5297,433,'MSFT',426.6,'BUY','2024-05-21 09:50:00'),</v>
      </c>
      <c r="OC2" t="str">
        <v>(4168,491,'TSLA',738.5,'SELL','2024-03-15 03:59:00'),</v>
      </c>
      <c r="OD2" t="str">
        <v>(7938,387,'MSFT',778.06,'SELL','2024-03-20 07:06:00'),</v>
      </c>
      <c r="OE2" t="str">
        <v>(2941,730,'AMZN',548.57,'SELL','2024-02-18 04:44:00'),</v>
      </c>
      <c r="OF2" t="str">
        <v>(5705,159,'MSFT',462.68,'SELL','2024-03-22 16:14:00'),</v>
      </c>
      <c r="OG2" t="str">
        <v>(5297,629,'TSLA',167.49,'SELL','2024-03-19 08:53:00'),</v>
      </c>
      <c r="OH2" t="str">
        <v>(4710,996,'MSFT',529.14,'SELL','2024-01-21 22:53:00'),</v>
      </c>
      <c r="OI2" t="str">
        <v>(7531,656,'MSFT',137.24,'BUY','2024-02-13 18:46:00'),</v>
      </c>
      <c r="OJ2" t="str">
        <v>(6298,677,'MSFT',738.61,'SELL','2024-04-01 18:07:00'),</v>
      </c>
      <c r="OK2" t="str">
        <v>(1691,10,'MSFT',142.87,'BUY','2024-05-01 19:02:00'),</v>
      </c>
      <c r="OL2" t="str">
        <v>(5705,403,'MSFT',842.44,'SELL','2024-04-22 13:36:00'),</v>
      </c>
      <c r="OM2" t="str">
        <v>(4168,566,'META',904.74,'SELL','2024-04-25 19:55:00'),</v>
      </c>
      <c r="ON2" t="str">
        <v>(4168,230,'META',624.32,'BUY','2024-02-11 00:27:00'),</v>
      </c>
      <c r="OO2" t="str">
        <v>(5705,925,'META',400.54,'BUY','2024-02-21 18:03:00'),</v>
      </c>
      <c r="OP2" t="str">
        <v>(2941,941,'TSLA',598.04,'BUY','2024-05-11 09:30:00'),</v>
      </c>
      <c r="OQ2" t="str">
        <v>(7922,412,'META',377.82,'BUY','2024-05-30 06:51:00'),</v>
      </c>
      <c r="OR2" t="str">
        <v>(4669,177,'TSLA',644.68,'SELL','2024-04-26 12:52:00'),</v>
      </c>
      <c r="OS2" t="str">
        <v>(1691,188,'TSLA',626.71,'BUY','2024-02-25 09:42:00'),</v>
      </c>
      <c r="OT2" t="str">
        <v>(5705,771,'META',141.95,'SELL','2024-05-02 11:03:00'),</v>
      </c>
      <c r="OU2" t="str">
        <v>(5751,192,'TSLA',567.78,'SELL','2024-01-09 13:49:00'),</v>
      </c>
      <c r="OV2" t="str">
        <v>(7922,990,'META',709.05,'SELL','2024-04-20 05:03:00'),</v>
      </c>
      <c r="OW2" t="str">
        <v>(5705,29,'AMZN',531.1,'SELL','2024-03-14 01:22:00'),</v>
      </c>
      <c r="OX2" t="str">
        <v>(6298,348,'MSFT',388.63,'SELL','2024-02-18 01:46:00'),</v>
      </c>
      <c r="OY2" t="str">
        <v>(9094,774,'AMZN',989.57,'BUY','2024-02-10 14:13:00'),</v>
      </c>
      <c r="OZ2" t="str">
        <v>(9094,189,'AMZN',726.63,'BUY','2024-03-06 01:10:00'),</v>
      </c>
      <c r="PA2" t="str">
        <v>(6298,369,'TSLA',136.36,'BUY','2024-03-09 21:51:00'),</v>
      </c>
      <c r="PB2" t="str">
        <v>(6298,75,'AMZN',562.98,'BUY','2024-03-25 04:21:00'),</v>
      </c>
      <c r="PC2" t="str">
        <v>(6298,834,'TSLA',184.38,'SELL','2024-04-07 02:42:00'),</v>
      </c>
      <c r="PD2" t="str">
        <v>(1691,880,'TSLA',814.07,'SELL','2024-02-08 13:41:00'),</v>
      </c>
      <c r="PE2" t="str">
        <v>(5751,53,'MSFT',581.3,'BUY','2024-03-03 05:09:00'),</v>
      </c>
      <c r="PF2" t="str">
        <v>(6298,149,'MSFT',537.14,'BUY','2024-03-31 20:31:00'),</v>
      </c>
      <c r="PG2" t="str">
        <v>(7938,53,'TSLA',639.59,'BUY','2024-05-19 20:25:00'),</v>
      </c>
      <c r="PH2" t="str">
        <v>(7531,771,'META',817.59,'SELL','2024-03-06 02:37:00'),</v>
      </c>
      <c r="PI2" t="str">
        <v>(9094,451,'META',470.29,'SELL','2024-04-17 15:17:00'),</v>
      </c>
      <c r="PJ2" t="str">
        <v>(2941,772,'META',478.16,'BUY','2024-04-22 20:52:00'),</v>
      </c>
      <c r="PK2" t="str">
        <v>(7922,471,'META',526.8,'SELL','2024-02-19 12:17:00'),</v>
      </c>
      <c r="PL2" t="str">
        <v>(4168,607,'META',214.09,'SELL','2024-03-11 00:20:00'),</v>
      </c>
      <c r="PM2" t="str">
        <v>(1691,142,'AMZN',975.57,'BUY','2024-04-30 20:21:00'),</v>
      </c>
      <c r="PN2" t="str">
        <v>(4710,772,'META',702.27,'SELL','2024-05-09 04:06:00'),</v>
      </c>
      <c r="PO2" t="str">
        <v>(4168,811,'TSLA',823.8,'SELL','2024-02-16 06:35:00'),</v>
      </c>
      <c r="PP2" t="str">
        <v>(5705,675,'AMZN',756.61,'SELL','2024-02-15 17:32:00'),</v>
      </c>
      <c r="PQ2" t="str">
        <v>(7531,227,'AMZN',728.21,'SELL','2024-05-09 15:48:00'),</v>
      </c>
      <c r="PR2" t="str">
        <v>(9094,315,'MSFT',861.86,'SELL','2024-03-27 13:48:00'),</v>
      </c>
      <c r="PS2" t="str">
        <v>(6298,99,'AMZN',885.91,'SELL','2024-02-17 22:26:00'),</v>
      </c>
      <c r="PT2" t="str">
        <v>(5705,518,'META',896.59,'BUY','2024-05-22 16:23:00'),</v>
      </c>
      <c r="PU2" t="str">
        <v>(9952,168,'META',484.2,'SELL','2024-01-22 09:55:00'),</v>
      </c>
      <c r="PV2" t="str">
        <v>(7938,935,'MSFT',140.64,'BUY','2024-03-29 13:58:00'),</v>
      </c>
      <c r="PW2" t="str">
        <v>(7938,516,'META',903.15,'BUY','2024-05-05 04:18:00'),</v>
      </c>
      <c r="PX2" t="str">
        <v>(7531,49,'AMZN',699.36,'BUY','2024-02-12 07:18:00'),</v>
      </c>
      <c r="PY2" t="str">
        <v>(4168,176,'MSFT',487.66,'BUY','2024-03-07 05:13:00'),</v>
      </c>
      <c r="PZ2" t="str">
        <v>(5297,671,'AMZN',736.0,'BUY','2024-03-29 15:56:00'),</v>
      </c>
      <c r="QA2" t="str">
        <v>(6298,139,'TSLA',403.69,'SELL','2024-01-20 02:55:00'),</v>
      </c>
      <c r="QB2" t="str">
        <v>(4669,928,'MSFT',393.64,'SELL','2024-03-28 18:12:00'),</v>
      </c>
      <c r="QC2" t="str">
        <v>(7531,750,'TSLA',143.25,'SELL','2024-04-13 22:41:00'),</v>
      </c>
      <c r="QD2" t="str">
        <v>(7938,378,'MSFT',683.57,'SELL','2024-01-07 02:06:00'),</v>
      </c>
      <c r="QE2" t="str">
        <v>(4168,59,'META',924.77,'SELL','2024-01-18 18:49:00'),</v>
      </c>
      <c r="QF2" t="str">
        <v>(5297,341,'META',879.55,'BUY','2024-05-28 12:45:00'),</v>
      </c>
      <c r="QG2" t="str">
        <v>(7938,833,'META',821.3,'BUY','2024-05-12 13:59:00'),</v>
      </c>
      <c r="QH2" t="str">
        <v>(7531,572,'MSFT',496.52,'SELL','2024-04-07 20:24:00'),</v>
      </c>
      <c r="QI2" t="str">
        <v>(1691,674,'AMZN',523.07,'BUY','2024-02-22 15:20:00'),</v>
      </c>
      <c r="QJ2" t="str">
        <v>(5705,557,'META',791.59,'SELL','2024-05-05 09:00:00'),</v>
      </c>
      <c r="QK2" t="str">
        <v>(7938,585,'AMZN',708.69,'BUY','2024-04-06 12:43:00'),</v>
      </c>
      <c r="QL2" t="str">
        <v>(1691,706,'AMZN',301.44,'SELL','2024-03-28 21:00:00'),</v>
      </c>
      <c r="QM2" t="str">
        <v>(5751,217,'META',233.85,'BUY','2024-05-23 14:20:00'),</v>
      </c>
      <c r="QN2" t="str">
        <v>(5297,503,'TSLA',397.63,'BUY','2024-02-13 18:36:00'),</v>
      </c>
      <c r="QO2" t="str">
        <v>(5751,205,'MSFT',389.29,'BUY','2024-01-03 01:20:00'),</v>
      </c>
      <c r="QP2" t="str">
        <v>(5751,105,'AMZN',275.41,'SELL','2024-04-03 05:04:00'),</v>
      </c>
      <c r="QQ2" t="str">
        <v>(5751,401,'META',692.03,'SELL','2024-01-10 05:22:00'),</v>
      </c>
      <c r="QR2" t="str">
        <v>(5751,769,'MSFT',989.49,'BUY','2024-04-16 14:27:00'),</v>
      </c>
      <c r="QS2" t="str">
        <v>(4168,667,'MSFT',861.71,'SELL','2024-01-10 03:12:00'),</v>
      </c>
      <c r="QT2" t="str">
        <v>(1691,934,'AMZN',142.59,'SELL','2024-01-09 02:19:00'),</v>
      </c>
      <c r="QU2" t="str">
        <v>(1691,269,'AMZN',815.91,'BUY','2024-03-26 23:20:00'),</v>
      </c>
      <c r="QV2" t="str">
        <v>(7938,367,'TSLA',847.97,'SELL','2024-05-12 09:46:00'),</v>
      </c>
      <c r="QW2" t="str">
        <v>(5297,62,'META',510.15,'BUY','2024-01-01 20:26:00'),</v>
      </c>
      <c r="QX2" t="str">
        <v>(1691,144,'TSLA',808.36,'BUY','2024-05-14 18:16:00'),</v>
      </c>
      <c r="QY2" t="str">
        <v>(9094,301,'AMZN',583.89,'SELL','2024-05-18 16:15:00'),</v>
      </c>
      <c r="QZ2" t="str">
        <v>(4168,997,'TSLA',847.87,'BUY','2024-02-05 03:51:00'),</v>
      </c>
      <c r="RA2" t="str">
        <v>(5705,3,'TSLA',984.06,'SELL','2024-05-28 13:50:00'),</v>
      </c>
      <c r="RB2" t="str">
        <v>(7531,321,'META',505.4,'BUY','2024-05-16 07:45:00'),</v>
      </c>
      <c r="RC2" t="str">
        <v>(2941,782,'TSLA',313.22,'SELL','2024-03-12 16:44:00'),</v>
      </c>
      <c r="RD2" t="str">
        <v>(7531,352,'META',334.91,'BUY','2024-01-03 12:52:00'),</v>
      </c>
      <c r="RE2" t="str">
        <v>(2941,109,'MSFT',735.68,'BUY','2024-02-14 11:41:00'),</v>
      </c>
      <c r="RF2" t="str">
        <v>(4168,180,'AMZN',958.35,'SELL','2024-05-01 21:08:00'),</v>
      </c>
      <c r="RG2" t="str">
        <v>(4710,104,'AMZN',812.97,'SELL','2024-03-04 12:25:00'),</v>
      </c>
      <c r="RH2" t="str">
        <v>(5297,484,'META',994.56,'SELL','2024-01-25 05:14:00'),</v>
      </c>
      <c r="RI2" t="str">
        <v>(5751,520,'META',838.45,'SELL','2024-02-14 02:51:00'),</v>
      </c>
      <c r="RJ2" t="str">
        <v>(5751,94,'TSLA',447.36,'BUY','2024-02-23 15:45:00'),</v>
      </c>
      <c r="RK2" t="str">
        <v>(5751,462,'AMZN',609.03,'BUY','2024-02-25 23:35:00'),</v>
      </c>
      <c r="RL2" t="str">
        <v>(6298,664,'MSFT',635.19,'SELL','2024-01-16 10:11:00'),</v>
      </c>
      <c r="RM2" t="str">
        <v>(5258,886,'TSLA',888.96,'SELL','2024-03-12 12:42:00'),</v>
      </c>
      <c r="RN2" t="str">
        <v>(2941,84,'TSLA',925.45,'BUY','2024-03-26 15:19:00'),</v>
      </c>
      <c r="RO2" t="str">
        <v>(5297,686,'META',658.99,'SELL','2024-02-17 08:58:00'),</v>
      </c>
      <c r="RP2" t="str">
        <v>(9952,742,'TSLA',554.38,'SELL','2024-01-17 09:33:00'),</v>
      </c>
      <c r="RQ2" t="str">
        <v>(9094,375,'AMZN',480.76,'SELL','2024-02-20 22:04:00'),</v>
      </c>
      <c r="RR2" t="str">
        <v>(9094,227,'MSFT',922.1,'BUY','2024-03-30 04:48:00'),</v>
      </c>
      <c r="RS2" t="str">
        <v>(9952,82,'MSFT',883.22,'BUY','2024-02-28 14:55:00'),</v>
      </c>
      <c r="RT2" t="str">
        <v>(4669,807,'TSLA',131.04,'SELL','2024-03-18 05:54:00'),</v>
      </c>
      <c r="RU2" t="str">
        <v>(2941,442,'AMZN',618.04,'BUY','2024-04-05 13:45:00'),</v>
      </c>
      <c r="RV2" t="str">
        <v>(4669,332,'AMZN',563.18,'SELL','2024-02-05 19:43:00'),</v>
      </c>
      <c r="RW2" t="str">
        <v>(6298,36,'MSFT',794.11,'BUY','2024-03-06 13:20:00'),</v>
      </c>
      <c r="RX2" t="str">
        <v>(7922,655,'AMZN',350.85,'BUY','2024-02-28 22:27:00'),</v>
      </c>
      <c r="RY2" t="str">
        <v>(7531,476,'MSFT',322.7,'BUY','2024-02-19 03:13:00'),</v>
      </c>
      <c r="RZ2" t="str">
        <v>(5751,885,'TSLA',549.98,'BUY','2024-03-27 16:32:00'),</v>
      </c>
      <c r="SA2" t="str">
        <v>(7531,638,'MSFT',692.13,'SELL','2024-01-29 11:14:00'),</v>
      </c>
      <c r="SB2" t="str">
        <v>(9094,480,'MSFT',206.88,'SELL','2024-04-05 06:19:00'),</v>
      </c>
      <c r="SC2" t="str">
        <v>(5258,343,'TSLA',819.88,'BUY','2024-01-05 23:02:00'),</v>
      </c>
      <c r="SD2" t="str">
        <v>(5297,338,'META',903.67,'BUY','2024-05-11 01:18:00'),</v>
      </c>
      <c r="SE2" t="str">
        <v>(7938,567,'MSFT',348.6,'SELL','2024-03-03 06:12:00'),</v>
      </c>
      <c r="SF2" t="str">
        <v>(9952,627,'MSFT',879.64,'SELL','2024-02-01 08:44:00'),</v>
      </c>
      <c r="SG2" t="str">
        <v>(5297,740,'META',748.26,'BUY','2024-04-02 02:16:00'),</v>
      </c>
      <c r="SH2" t="str">
        <v>(7531,641,'MSFT',940.58,'SELL','2024-03-28 22:21:00'),</v>
      </c>
      <c r="SI2" t="str">
        <v>(7938,895,'TSLA',730.75,'SELL','2024-03-29 07:25:00'),</v>
      </c>
      <c r="SJ2" t="str">
        <v>(7922,488,'MSFT',941.73,'BUY','2024-05-23 15:56:00'),</v>
      </c>
      <c r="SK2" t="str">
        <v>(5705,881,'META',452.91,'SELL','2024-04-29 10:39:00'),</v>
      </c>
      <c r="SL2" t="str">
        <v>(5258,889,'TSLA',599.12,'SELL','2024-02-14 21:36:00'),</v>
      </c>
      <c r="SM2" t="str">
        <v>(5297,396,'AMZN',712.01,'SELL','2024-02-21 07:16:00'),</v>
      </c>
      <c r="SN2" t="str">
        <v>(1691,937,'META',191.84,'SELL','2024-04-01 11:48:00'),</v>
      </c>
      <c r="SO2" t="str">
        <v>(4168,534,'TSLA',254.67,'SELL','2024-04-19 18:44:00'),</v>
      </c>
      <c r="SP2" t="str">
        <v>(4669,305,'META',935.24,'BUY','2024-01-16 03:57:00'),</v>
      </c>
      <c r="SQ2" t="str">
        <v>(1691,447,'META',235.06,'BUY','2024-02-19 14:36:00'),</v>
      </c>
      <c r="SR2" t="str">
        <v>(5258,753,'AMZN',108.62,'BUY','2024-04-08 21:06:00'),</v>
      </c>
      <c r="SS2" t="str">
        <v>(6298,636,'TSLA',462.94,'BUY','2024-05-24 12:32:00'),</v>
      </c>
      <c r="ST2" t="str">
        <v>(9094,863,'META',175.07,'BUY','2024-03-18 03:06:00'),</v>
      </c>
      <c r="SU2" t="str">
        <v>(7922,26,'TSLA',785.88,'SELL','2024-05-19 16:02:00'),</v>
      </c>
      <c r="SV2" t="str">
        <v>(7531,254,'META',917.53,'BUY','2024-02-14 01:42:00'),</v>
      </c>
      <c r="SW2" t="str">
        <v>(5297,213,'META',617.87,'BUY','2024-02-17 11:57:00'),</v>
      </c>
      <c r="SX2" t="str">
        <v>(7938,367,'META',425.46,'BUY','2024-01-05 22:26:00'),</v>
      </c>
      <c r="SY2" t="str">
        <v>(7922,570,'MSFT',723.26,'BUY','2024-03-31 12:42:00'),</v>
      </c>
      <c r="SZ2" t="str">
        <v>(5751,908,'MSFT',844.62,'SELL','2024-04-29 10:01:00'),</v>
      </c>
      <c r="TA2" t="str">
        <v>(5705,389,'META',703.15,'BUY','2024-02-26 14:12:00'),</v>
      </c>
      <c r="TB2" t="str">
        <v>(5751,78,'TSLA',401.39,'SELL','2024-02-15 00:39:00'),</v>
      </c>
      <c r="TC2" t="str">
        <v>(4168,470,'AMZN',591.15,'BUY','2024-05-10 05:12:00'),</v>
      </c>
      <c r="TD2" t="str">
        <v>(1691,4,'META',234.11,'BUY','2024-01-16 19:51:00'),</v>
      </c>
      <c r="TE2" t="str">
        <v>(5297,276,'TSLA',678.34,'SELL','2024-05-23 23:33:00'),</v>
      </c>
      <c r="TF2" t="str">
        <v>(7922,689,'AMZN',791.08,'BUY','2024-02-06 11:07:00'),</v>
      </c>
      <c r="TG2" t="str">
        <v>(5258,718,'TSLA',406.38,'BUY','2024-03-15 15:22:00'),</v>
      </c>
      <c r="TH2" t="str">
        <v>(1691,369,'MSFT',651.43,'BUY','2024-03-04 18:53:00'),</v>
      </c>
      <c r="TI2" t="str">
        <v>(4710,656,'MSFT',151.91,'BUY','2024-05-20 19:33:00'),</v>
      </c>
      <c r="TJ2" t="str">
        <v>(1691,856,'META',218.14,'SELL','2024-02-22 21:51:00'),</v>
      </c>
      <c r="TK2" t="str">
        <v>(6298,852,'META',799.83,'SELL','2024-01-13 09:41:00'),</v>
      </c>
      <c r="TL2" t="str">
        <v>(4168,357,'AMZN',950.87,'SELL','2024-03-14 18:20:00'),</v>
      </c>
      <c r="TM2" t="str">
        <v>(7938,8,'TSLA',690.59,'BUY','2024-03-13 07:06:00'),</v>
      </c>
      <c r="TN2" t="str">
        <v>(5297,301,'TSLA',315.85,'SELL','2024-03-05 13:56:00'),</v>
      </c>
      <c r="TO2" t="str">
        <v>(5705,761,'META',736.09,'BUY','2024-01-05 01:52:00'),</v>
      </c>
      <c r="TP2" t="str">
        <v>(1691,296,'TSLA',602.21,'BUY','2024-05-05 20:29:00'),</v>
      </c>
      <c r="TQ2" t="str">
        <v>(5751,125,'MSFT',108.52,'SELL','2024-05-19 00:56:00'),</v>
      </c>
      <c r="TR2" t="str">
        <v>(4710,613,'META',827.31,'BUY','2024-01-22 16:46:00'),</v>
      </c>
      <c r="TS2" t="str">
        <v>(5297,944,'TSLA',894.91,'BUY','2024-05-24 07:17:00'),</v>
      </c>
      <c r="TT2" t="str">
        <v>(1691,460,'META',293.19,'BUY','2024-02-20 13:08:00'),</v>
      </c>
      <c r="TU2" t="str">
        <v>(6298,663,'AMZN',444.45,'BUY','2024-04-08 11:45:00'),</v>
      </c>
      <c r="TV2" t="str">
        <v>(4669,559,'MSFT',256.72,'SELL','2024-02-21 23:40:00'),</v>
      </c>
      <c r="TW2" t="str">
        <v>(7531,159,'META',906.42,'BUY','2024-01-22 08:13:00'),</v>
      </c>
      <c r="TX2" t="str">
        <v>(5297,807,'META',953.23,'SELL','2024-02-12 19:50:00'),</v>
      </c>
      <c r="TY2" t="str">
        <v>(4168,187,'MSFT',327.69,'SELL','2024-02-04 16:39:00'),</v>
      </c>
      <c r="TZ2" t="str">
        <v>(9094,990,'MSFT',882.59,'SELL','2024-03-20 08:02:00'),</v>
      </c>
      <c r="UA2" t="str">
        <v>(7938,631,'META',778.62,'SELL','2024-03-04 20:17:00'),</v>
      </c>
      <c r="UB2" t="str">
        <v>(4710,925,'META',311.98,'SELL','2024-03-11 12:58:00'),</v>
      </c>
      <c r="UC2" t="str">
        <v>(7531,920,'MSFT',612.42,'BUY','2024-03-10 12:59:00'),</v>
      </c>
      <c r="UD2" t="str">
        <v>(7938,861,'TSLA',680.78,'BUY','2024-01-10 12:52:00'),</v>
      </c>
      <c r="UE2" t="str">
        <v>(4710,402,'TSLA',656.1,'BUY','2024-02-05 05:49:00'),</v>
      </c>
      <c r="UF2" t="str">
        <v>(7531,210,'AMZN',770.04,'BUY','2024-02-21 04:08:00'),</v>
      </c>
      <c r="UG2" t="str">
        <v>(9952,16,'MSFT',643.9,'BUY','2024-04-28 20:30:00'),</v>
      </c>
      <c r="UH2" t="str">
        <v>(2941,404,'TSLA',180.86,'BUY','2024-02-29 22:56:00'),</v>
      </c>
      <c r="UI2" t="str">
        <v>(5258,449,'META',730.35,'SELL','2024-02-22 20:51:00'),</v>
      </c>
      <c r="UJ2" t="str">
        <v>(5705,764,'META',910.79,'SELL','2024-01-07 02:14:00'),</v>
      </c>
      <c r="UK2" t="str">
        <v>(7531,967,'AMZN',520.74,'BUY','2024-03-20 21:55:00'),</v>
      </c>
      <c r="UL2" t="str">
        <v>(7922,53,'TSLA',449.36,'BUY','2024-03-21 15:24:00'),</v>
      </c>
      <c r="UM2" t="str">
        <v>(1691,200,'META',724.85,'SELL','2024-02-19 17:36:00'),</v>
      </c>
      <c r="UN2" t="str">
        <v>(4168,465,'META',483.75,'SELL','2024-03-19 01:34:00'),</v>
      </c>
      <c r="UO2" t="str">
        <v>(7531,681,'AMZN',755.01,'BUY','2024-02-17 20:05:00'),</v>
      </c>
      <c r="UP2" t="str">
        <v>(9094,482,'TSLA',671.68,'BUY','2024-02-29 12:54:00'),</v>
      </c>
      <c r="UQ2" t="str">
        <v>(1691,395,'META',502.81,'SELL','2024-05-09 23:20:00'),</v>
      </c>
      <c r="UR2" t="str">
        <v>(7938,928,'META',813.6,'BUY','2024-05-09 14:56:00'),</v>
      </c>
      <c r="US2" t="str">
        <v>(1691,564,'AMZN',994.78,'SELL','2024-02-12 01:33:00'),</v>
      </c>
      <c r="UT2" t="str">
        <v>(4710,395,'TSLA',951.13,'SELL','2024-01-05 08:47:00'),</v>
      </c>
      <c r="UU2" t="str">
        <v>(7531,223,'AMZN',670.33,'BUY','2024-04-11 19:38:00'),</v>
      </c>
      <c r="UV2" t="str">
        <v>(5297,347,'TSLA',311.93,'SELL','2024-04-20 02:52:00'),</v>
      </c>
      <c r="UW2" t="str">
        <v>(5705,173,'META',567.99,'BUY','2024-03-14 23:56:00'),</v>
      </c>
      <c r="UX2" t="str">
        <v>(4710,74,'MSFT',594.81,'SELL','2024-02-26 03:11:00'),</v>
      </c>
      <c r="UY2" t="str">
        <v>(6298,943,'AMZN',805.29,'BUY','2024-02-29 05:46:00'),</v>
      </c>
      <c r="UZ2" t="str">
        <v>(5297,58,'AMZN',255.04,'BUY','2024-04-23 13:28:00'),</v>
      </c>
      <c r="VA2" t="str">
        <v>(5258,653,'AMZN',608.1,'SELL','2024-01-30 01:45:00'),</v>
      </c>
      <c r="VB2" t="str">
        <v>(9094,421,'MSFT',835.54,'BUY','2024-04-16 14:12:00'),</v>
      </c>
      <c r="VC2" t="str">
        <v>(7922,325,'AMZN',637.46,'SELL','2024-04-19 10:15:00'),</v>
      </c>
      <c r="VD2" t="str">
        <v>(9952,525,'MSFT',965.46,'BUY','2024-05-16 23:24:00'),</v>
      </c>
      <c r="VE2" t="str">
        <v>(7922,635,'AMZN',683.86,'SELL','2024-03-06 15:16:00'),</v>
      </c>
      <c r="VF2" t="str">
        <v>(7531,921,'AMZN',442.13,'BUY','2024-04-15 17:29:00'),</v>
      </c>
      <c r="VG2" t="str">
        <v>(4168,472,'TSLA',522.46,'BUY','2024-04-10 17:16:00'),</v>
      </c>
      <c r="VH2" t="str">
        <v>(9952,77,'AMZN',301.55,'SELL','2024-05-20 01:58:00'),</v>
      </c>
      <c r="VI2" t="str">
        <v>(9094,591,'MSFT',374.42,'BUY','2024-05-09 20:31:00'),</v>
      </c>
      <c r="VJ2" t="str">
        <v>(2941,374,'MSFT',827.1,'SELL','2024-02-29 08:19:00'),</v>
      </c>
      <c r="VK2" t="str">
        <v>(4710,907,'MSFT',609.55,'SELL','2024-05-24 06:07:00'),</v>
      </c>
      <c r="VL2" t="str">
        <v>(7531,355,'AMZN',367.79,'BUY','2024-04-27 14:25:00'),</v>
      </c>
      <c r="VM2" t="str">
        <v>(5297,4,'META',610.05,'SELL','2024-02-19 04:23:00'),</v>
      </c>
      <c r="VN2" t="str">
        <v>(4669,942,'TSLA',340.96,'BUY','2024-03-22 02:47:00'),</v>
      </c>
      <c r="VO2" t="str">
        <v>(4710,172,'MSFT',326.27,'SELL','2024-02-24 13:45:00'),</v>
      </c>
      <c r="VP2" t="str">
        <v>(4669,124,'AMZN',291.35,'SELL','2024-01-06 18:18:00'),</v>
      </c>
      <c r="VQ2" t="str">
        <v>(5258,972,'TSLA',404.53,'SELL','2024-04-05 03:54:00'),</v>
      </c>
      <c r="VR2" t="str">
        <v>(5705,859,'META',536.72,'BUY','2024-04-03 06:04:00'),</v>
      </c>
      <c r="VS2" t="str">
        <v>(4168,582,'MSFT',190.67,'SELL','2024-04-27 07:34:00'),</v>
      </c>
      <c r="VT2" t="str">
        <v>(7938,663,'MSFT',298.25,'SELL','2024-05-16 09:18:00'),</v>
      </c>
      <c r="VU2" t="str">
        <v>(5705,595,'AMZN',545.42,'SELL','2024-01-14 18:06:00'),</v>
      </c>
      <c r="VV2" t="str">
        <v>(7922,992,'AMZN',502.86,'SELL','2024-04-02 21:11:00'),</v>
      </c>
      <c r="VW2" t="str">
        <v>(5751,104,'META',677.97,'BUY','2024-01-31 06:46:00'),</v>
      </c>
      <c r="VX2" t="str">
        <v>(9094,17,'AMZN',172.66,'SELL','2024-04-05 16:00:00'),</v>
      </c>
      <c r="VY2" t="str">
        <v>(2941,652,'MSFT',909.19,'BUY','2024-01-12 22:52:00'),</v>
      </c>
      <c r="VZ2" t="str">
        <v>(4168,645,'AMZN',138.74,'BUY','2024-04-08 12:30:00'),</v>
      </c>
      <c r="WA2" t="str">
        <v>(6298,595,'META',266.08,'BUY','2024-01-25 17:23:00'),</v>
      </c>
      <c r="WB2" t="str">
        <v>(5258,174,'TSLA',380.51,'SELL','2024-05-03 20:18:00'),</v>
      </c>
      <c r="WC2" t="str">
        <v>(2941,735,'META',658.2,'BUY','2024-04-14 09:10:00'),</v>
      </c>
      <c r="WD2" t="str">
        <v>(1691,982,'MSFT',252.09,'BUY','2024-01-10 03:20:00'),</v>
      </c>
      <c r="WE2" t="str">
        <v>(9094,653,'AMZN',367.54,'SELL','2024-04-10 15:34:00'),</v>
      </c>
      <c r="WF2" t="str">
        <v>(9094,237,'AMZN',644.89,'SELL','2024-02-29 14:38:00'),</v>
      </c>
      <c r="WG2" t="str">
        <v>(7922,202,'MSFT',823.48,'BUY','2024-03-31 04:38:00'),</v>
      </c>
      <c r="WH2" t="str">
        <v>(5258,611,'AMZN',596.96,'BUY','2024-01-18 04:45:00'),</v>
      </c>
      <c r="WI2" t="str">
        <v>(4669,363,'MSFT',783.67,'BUY','2024-04-03 22:11:00'),</v>
      </c>
      <c r="WJ2" t="str">
        <v>(5705,262,'MSFT',478.8,'SELL','2024-03-13 04:54:00'),</v>
      </c>
      <c r="WK2" t="str">
        <v>(6298,893,'AMZN',615.45,'BUY','2024-05-09 07:52:00'),</v>
      </c>
      <c r="WL2" t="str">
        <v>(4168,877,'AMZN',996.27,'SELL','2024-02-27 15:32:00'),</v>
      </c>
      <c r="WM2" t="str">
        <v>(7938,897,'MSFT',463.01,'SELL','2024-03-24 17:21:00'),</v>
      </c>
      <c r="WN2" t="str">
        <v>(1691,191,'MSFT',652.41,'BUY','2024-01-25 07:00:00'),</v>
      </c>
      <c r="WO2" t="str">
        <v>(9952,586,'TSLA',647.71,'BUY','2024-01-25 00:00:00'),</v>
      </c>
      <c r="WP2" t="str">
        <v>(5705,41,'MSFT',988.31,'SELL','2024-03-30 07:02:00'),</v>
      </c>
      <c r="WQ2" t="str">
        <v>(9094,921,'TSLA',493.9,'SELL','2024-04-11 19:21:00'),</v>
      </c>
      <c r="WR2" t="str">
        <v>(5297,127,'MSFT',926.68,'SELL','2024-03-24 01:23:00'),</v>
      </c>
      <c r="WS2" t="str">
        <v>(5258,96,'MSFT',657.62,'SELL','2024-02-23 14:24:00'),</v>
      </c>
      <c r="WT2" t="str">
        <v>(7922,929,'TSLA',727.47,'BUY','2024-02-10 10:23:00'),</v>
      </c>
      <c r="WU2" t="str">
        <v>(7938,474,'META',990.96,'SELL','2024-04-09 19:19:00'),</v>
      </c>
      <c r="WV2" t="str">
        <v>(6298,539,'META',104.27,'SELL','2024-02-02 22:55:00'),</v>
      </c>
      <c r="WW2" t="str">
        <v>(9952,114,'TSLA',587.99,'SELL','2024-03-13 04:17:00'),</v>
      </c>
      <c r="WX2" t="str">
        <v>(1691,756,'META',796.6,'BUY','2024-05-10 04:38:00'),</v>
      </c>
      <c r="WY2" t="str">
        <v>(1691,87,'TSLA',698.63,'BUY','2024-01-25 19:58:00'),</v>
      </c>
      <c r="WZ2" t="str">
        <v>(5258,771,'MSFT',326.19,'BUY','2024-01-09 16:00:00'),</v>
      </c>
      <c r="XA2" t="str">
        <v>(5751,815,'TSLA',989.09,'SELL','2024-04-26 05:39:00'),</v>
      </c>
      <c r="XB2" t="str">
        <v>(4710,463,'MSFT',358.16,'BUY','2024-02-06 10:47:00'),</v>
      </c>
      <c r="XC2" t="str">
        <v>(9094,887,'TSLA',220.92,'BUY','2024-03-09 21:26:00'),</v>
      </c>
      <c r="XD2" t="str">
        <v>(2941,567,'TSLA',226.35,'BUY','2024-05-13 00:51:00'),</v>
      </c>
      <c r="XE2" t="str">
        <v>(7938,119,'MSFT',715.04,'SELL','2024-01-12 09:07:00'),</v>
      </c>
      <c r="XF2" t="str">
        <v>(7938,621,'MSFT',297.14,'SELL','2024-01-03 01:16:00'),</v>
      </c>
      <c r="XG2" t="str">
        <v>(9094,209,'AMZN',534.01,'SELL','2024-03-29 14:15:00'),</v>
      </c>
      <c r="XH2" t="str">
        <v>(4669,410,'MSFT',759.58,'BUY','2024-03-02 00:04:00'),</v>
      </c>
      <c r="XI2" t="str">
        <v>(5705,803,'AMZN',958.19,'BUY','2024-01-16 02:08:00'),</v>
      </c>
      <c r="XJ2" t="str">
        <v>(7531,935,'TSLA',593.08,'BUY','2024-02-08 02:58:00'),</v>
      </c>
      <c r="XK2" t="str">
        <v>(7938,467,'TSLA',925.31,'SELL','2024-03-21 19:32:00'),</v>
      </c>
      <c r="XL2" t="str">
        <v>(7938,384,'META',633.1,'SELL','2024-04-20 00:35:00'),</v>
      </c>
      <c r="XM2" t="str">
        <v>(7922,178,'AMZN',183.82,'BUY','2024-05-10 17:50:00'),</v>
      </c>
      <c r="XN2" t="str">
        <v>(4710,74,'AMZN',615.89,'SELL','2024-05-01 22:36:00'),</v>
      </c>
      <c r="XO2" t="str">
        <v>(4710,829,'META',371.95,'BUY','2024-04-16 18:41:00'),</v>
      </c>
      <c r="XP2" t="str">
        <v>(5258,825,'MSFT',374.43,'SELL','2024-04-01 01:57:00'),</v>
      </c>
      <c r="XQ2" t="str">
        <v>(7922,114,'MSFT',769.38,'SELL','2024-02-07 18:46:00'),</v>
      </c>
      <c r="XR2" t="str">
        <v>(9952,652,'AMZN',571.8,'SELL','2024-04-21 21:40:00'),</v>
      </c>
      <c r="XS2" t="str">
        <v>(5258,874,'AMZN',830.74,'SELL','2024-04-20 13:24:00'),</v>
      </c>
      <c r="XT2" t="str">
        <v>(9094,646,'AMZN',996.99,'SELL','2024-02-22 18:38:00'),</v>
      </c>
      <c r="XU2" t="str">
        <v>(9952,647,'MSFT',162.83,'SELL','2024-04-15 13:37:00'),</v>
      </c>
      <c r="XV2" t="str">
        <v>(5751,579,'TSLA',890.15,'BUY','2024-02-14 14:12:00'),</v>
      </c>
      <c r="XW2" t="str">
        <v>(5258,658,'META',289.03,'SELL','2024-05-24 06:41:00'),</v>
      </c>
      <c r="XX2" t="str">
        <v>(6298,382,'TSLA',540.91,'SELL','2024-04-07 05:51:00'),</v>
      </c>
      <c r="XY2" t="str">
        <v>(9952,243,'MSFT',865.9,'BUY','2024-02-07 21:44:00'),</v>
      </c>
      <c r="XZ2" t="str">
        <v>(4168,334,'AMZN',967.23,'SELL','2024-03-12 03:03:00'),</v>
      </c>
      <c r="YA2" t="str">
        <v>(6298,567,'TSLA',946.4,'BUY','2024-01-12 05:40:00'),</v>
      </c>
      <c r="YB2" t="str">
        <v>(7922,292,'AMZN',738.81,'BUY','2024-01-26 09:27:00'),</v>
      </c>
      <c r="YC2" t="str">
        <v>(5297,674,'META',750.28,'SELL','2024-02-28 09:21:00'),</v>
      </c>
      <c r="YD2" t="str">
        <v>(5751,246,'TSLA',798.84,'BUY','2024-02-28 21:45:00'),</v>
      </c>
      <c r="YE2" t="str">
        <v>(9094,522,'META',560.23,'BUY','2024-03-19 20:39:00'),</v>
      </c>
      <c r="YF2" t="str">
        <v>(5751,465,'META',633.08,'BUY','2024-02-04 02:19:00'),</v>
      </c>
      <c r="YG2" t="str">
        <v>(5705,175,'MSFT',429.1,'BUY','2024-02-10 15:48:00'),</v>
      </c>
      <c r="YH2" t="str">
        <v>(4710,563,'TSLA',693.74,'BUY','2024-02-09 15:50:00'),</v>
      </c>
      <c r="YI2" t="str">
        <v>(1691,517,'MSFT',784.44,'BUY','2024-03-02 18:57:00'),</v>
      </c>
      <c r="YJ2" t="str">
        <v>(2941,25,'META',274.61,'SELL','2024-02-28 03:00:00'),</v>
      </c>
      <c r="YK2" t="str">
        <v>(4168,114,'MSFT',842.86,'SELL','2024-05-05 08:40:00'),</v>
      </c>
      <c r="YL2" t="str">
        <v>(9094,194,'TSLA',205.07,'BUY','2024-01-03 15:47:00'),</v>
      </c>
      <c r="YM2" t="str">
        <v>(5705,659,'AMZN',377.58,'SELL','2024-05-08 23:07:00'),</v>
      </c>
      <c r="YN2" t="str">
        <v>(7938,460,'TSLA',522.32,'BUY','2024-01-24 06:20:00'),</v>
      </c>
      <c r="YO2" t="str">
        <v>(2941,917,'MSFT',522.99,'BUY','2024-01-18 04:25:00'),</v>
      </c>
      <c r="YP2" t="str">
        <v>(7531,904,'AMZN',937.01,'BUY','2024-01-29 00:27:00'),</v>
      </c>
      <c r="YQ2" t="str">
        <v>(1691,247,'MSFT',213.05,'BUY','2024-04-21 11:22:00'),</v>
      </c>
      <c r="YR2" t="str">
        <v>(4669,847,'META',915.14,'BUY','2024-01-07 17:53:00'),</v>
      </c>
      <c r="YS2" t="str">
        <v>(7531,307,'MSFT',948.21,'SELL','2024-04-29 00:37:00'),</v>
      </c>
      <c r="YT2" t="str">
        <v>(7531,894,'META',901.81,'BUY','2024-03-24 19:40:00'),</v>
      </c>
      <c r="YU2" t="str">
        <v>(7922,23,'AMZN',667.08,'BUY','2024-02-08 10:50:00'),</v>
      </c>
      <c r="YV2" t="str">
        <v>(5258,416,'TSLA',850.48,'SELL','2024-01-03 15:42:00'),</v>
      </c>
      <c r="YW2" t="str">
        <v>(5751,428,'TSLA',183.8,'SELL','2024-04-18 16:14:00'),</v>
      </c>
      <c r="YX2" t="str">
        <v>(5705,829,'TSLA',732.52,'BUY','2024-03-17 01:44:00'),</v>
      </c>
      <c r="YY2" t="str">
        <v>(5297,709,'MSFT',694.61,'BUY','2024-05-06 01:21:00'),</v>
      </c>
      <c r="YZ2" t="str">
        <v>(7531,568,'TSLA',724.35,'SELL','2024-05-21 14:24:00'),</v>
      </c>
      <c r="ZA2" t="str">
        <v>(5258,243,'TSLA',772.23,'BUY','2024-03-07 11:06:00'),</v>
      </c>
      <c r="ZB2" t="str">
        <v>(4669,726,'META',669.43,'SELL','2024-05-03 13:16:00'),</v>
      </c>
      <c r="ZC2" t="str">
        <v>(5751,415,'META',142.17,'SELL','2024-01-10 12:21:00'),</v>
      </c>
      <c r="ZD2" t="str">
        <v>(4168,542,'META',351.53,'SELL','2024-05-19 14:09:00'),</v>
      </c>
      <c r="ZE2" t="str">
        <v>(9952,614,'AMZN',867.91,'SELL','2024-05-05 12:11:00'),</v>
      </c>
      <c r="ZF2" t="str">
        <v>(9952,817,'MSFT',900.04,'BUY','2024-05-14 07:57:00'),</v>
      </c>
      <c r="ZG2" t="str">
        <v>(5258,490,'META',288.5,'SELL','2024-04-01 04:07:00'),</v>
      </c>
      <c r="ZH2" t="str">
        <v>(6298,896,'TSLA',583.4,'SELL','2024-02-03 00:30:00'),</v>
      </c>
      <c r="ZI2" t="str">
        <v>(7922,379,'META',596.03,'BUY','2024-04-06 11:25:00'),</v>
      </c>
      <c r="ZJ2" t="str">
        <v>(9952,101,'META',299.21,'SELL','2024-04-12 12:50:00'),</v>
      </c>
      <c r="ZK2" t="str">
        <v>(5751,377,'TSLA',424.64,'BUY','2024-01-14 17:22:00'),</v>
      </c>
      <c r="ZL2" t="str">
        <v>(9952,350,'AMZN',654.56,'SELL','2024-01-10 02:44:00'),</v>
      </c>
      <c r="ZM2" t="str">
        <v>(7938,91,'TSLA',126.35,'BUY','2024-05-07 23:15:00'),</v>
      </c>
      <c r="ZN2" t="str">
        <v>(5705,453,'AMZN',623.28,'BUY','2024-05-05 13:54:00'),</v>
      </c>
      <c r="ZO2" t="str">
        <v>(5297,161,'TSLA',486.64,'BUY','2024-03-01 16:24:00'),</v>
      </c>
      <c r="ZP2" t="str">
        <v>(6298,692,'AMZN',157.63,'BUY','2024-03-25 11:06:00'),</v>
      </c>
      <c r="ZQ2" t="str">
        <v>(4669,989,'MSFT',733.45,'BUY','2024-01-04 09:57:00'),</v>
      </c>
      <c r="ZR2" t="str">
        <v>(2941,176,'AMZN',805.49,'SELL','2024-05-01 16:35:00'),</v>
      </c>
      <c r="ZS2" t="str">
        <v>(5297,566,'MSFT',554.92,'SELL','2024-02-27 01:12:00'),</v>
      </c>
      <c r="ZT2" t="str">
        <v>(9094,782,'META',720.72,'SELL','2024-05-11 17:05:00'),</v>
      </c>
      <c r="ZU2" t="str">
        <v>(7938,193,'META',157.57,'BUY','2024-01-21 07:36:00'),</v>
      </c>
      <c r="ZV2" t="str">
        <v>(7938,312,'TSLA',288.54,'SELL','2024-04-08 01:47:00'),</v>
      </c>
      <c r="ZW2" t="str">
        <v>(1691,248,'MSFT',481.86,'SELL','2024-02-07 23:39:00'),</v>
      </c>
      <c r="ZX2" t="str">
        <v>(1691,770,'TSLA',970.64,'SELL','2024-01-21 13:24:00'),</v>
      </c>
      <c r="ZY2" t="str">
        <v>(9094,53,'META',259.71,'SELL','2024-04-25 22:21:00'),</v>
      </c>
      <c r="ZZ2" t="str">
        <v>(9094,760,'AMZN',457.63,'SELL','2024-04-05 03:29:00'),</v>
      </c>
      <c r="AAA2" t="str">
        <v>(5258,557,'TSLA',641.46,'BUY','2024-01-22 04:02:00'),</v>
      </c>
      <c r="AAB2" t="str">
        <v>(9952,16,'MSFT',960.04,'BUY','2024-05-01 22:21:00'),</v>
      </c>
      <c r="AAC2" t="str">
        <v>(4710,383,'AMZN',562.48,'BUY','2024-03-15 20:19:00'),</v>
      </c>
      <c r="AAD2" t="str">
        <v>(5258,1,'MSFT',800.78,'SELL','2024-05-15 02:26:00'),</v>
      </c>
      <c r="AAE2" t="str">
        <v>(4168,714,'AMZN',942.91,'SELL','2024-02-26 23:02:00'),</v>
      </c>
      <c r="AAF2" t="str">
        <v>(7922,954,'MSFT',352.66,'SELL','2024-01-09 08:13:00'),</v>
      </c>
      <c r="AAG2" t="str">
        <v>(7922,269,'AMZN',586.54,'BUY','2024-01-21 23:12:00'),</v>
      </c>
      <c r="AAH2" t="str">
        <v>(5751,143,'AMZN',884.84,'SELL','2024-03-04 10:10:00'),</v>
      </c>
      <c r="AAI2" t="str">
        <v>(4669,419,'TSLA',953.25,'BUY','2024-03-12 20:43:00'),</v>
      </c>
      <c r="AAJ2" t="str">
        <v>(6298,254,'TSLA',738.76,'SELL','2024-02-06 14:33:00'),</v>
      </c>
      <c r="AAK2" t="str">
        <v>(4168,351,'META',492.21,'SELL','2024-02-07 20:22:00'),</v>
      </c>
      <c r="AAL2" t="str">
        <v>(9952,619,'AMZN',811.67,'SELL','2024-01-18 13:04:00'),</v>
      </c>
      <c r="AAM2" t="str">
        <v>(1691,234,'TSLA',342.46,'BUY','2024-01-14 19:03:00'),</v>
      </c>
      <c r="AAN2" t="str">
        <v>(5258,174,'MSFT',430.22,'BUY','2024-03-20 09:41:00'),</v>
      </c>
      <c r="AAO2" t="str">
        <v>(2941,591,'META',256.15,'BUY','2024-04-05 17:09:00'),</v>
      </c>
      <c r="AAP2" t="str">
        <v>(2941,162,'META',191.44,'BUY','2024-04-01 12:57:00'),</v>
      </c>
      <c r="AAQ2" t="str">
        <v>(7531,953,'TSLA',724.59,'SELL','2024-03-08 22:50:00'),</v>
      </c>
      <c r="AAR2" t="str">
        <v>(2941,928,'TSLA',468.8,'BUY','2024-05-21 07:49:00'),</v>
      </c>
      <c r="AAS2" t="str">
        <v>(6298,87,'TSLA',892.2,'BUY','2024-05-15 16:46:00'),</v>
      </c>
      <c r="AAT2" t="str">
        <v>(9094,288,'META',277.99,'BUY','2024-02-28 10:52:00'),</v>
      </c>
      <c r="AAU2" t="str">
        <v>(5297,898,'META',479.32,'SELL','2024-02-05 14:42:00'),</v>
      </c>
      <c r="AAV2" t="str">
        <v>(4168,336,'TSLA',773.51,'BUY','2024-04-12 00:31:00'),</v>
      </c>
      <c r="AAW2" t="str">
        <v>(5258,943,'AMZN',565.47,'BUY','2024-03-06 00:50:00'),</v>
      </c>
      <c r="AAX2" t="str">
        <v>(9094,748,'TSLA',836.92,'BUY','2024-02-26 05:41:00'),</v>
      </c>
      <c r="AAY2" t="str">
        <v>(9094,209,'META',862.77,'BUY','2024-05-21 15:50:00'),</v>
      </c>
      <c r="AAZ2" t="str">
        <v>(5258,974,'AMZN',638.67,'SELL','2024-01-08 08:02:00'),</v>
      </c>
      <c r="ABA2" t="str">
        <v>(4710,915,'MSFT',701.29,'SELL','2024-01-02 13:07:00'),</v>
      </c>
      <c r="ABB2" t="str">
        <v>(5297,334,'MSFT',728.71,'BUY','2024-04-23 07:06:00'),</v>
      </c>
      <c r="ABC2" t="str">
        <v>(7531,576,'MSFT',900.46,'SELL','2024-01-16 12:34:00'),</v>
      </c>
      <c r="ABD2" t="str">
        <v>(5297,38,'TSLA',742.41,'SELL','2024-04-11 09:38:00'),</v>
      </c>
      <c r="ABE2" t="str">
        <v>(5297,24,'META',157.68,'SELL','2024-03-19 11:17:00'),</v>
      </c>
      <c r="ABF2" t="str">
        <v>(7922,401,'MSFT',209.17,'SELL','2024-02-23 13:25:00'),</v>
      </c>
      <c r="ABG2" t="str">
        <v>(5705,277,'META',537.81,'SELL','2024-05-25 04:30:00'),</v>
      </c>
      <c r="ABH2" t="str">
        <v>(5297,79,'TSLA',272.17,'BUY','2024-03-08 13:04:00'),</v>
      </c>
      <c r="ABI2" t="str">
        <v>(5751,975,'MSFT',610.09,'SELL','2024-01-04 22:55:00'),</v>
      </c>
      <c r="ABJ2" t="str">
        <v>(2941,160,'MSFT',822.12,'SELL','2024-04-29 08:21:00'),</v>
      </c>
      <c r="ABK2" t="str">
        <v>(4168,953,'MSFT',379.96,'BUY','2024-02-16 08:46:00'),</v>
      </c>
      <c r="ABL2" t="str">
        <v>(1691,433,'MSFT',904.38,'BUY','2024-02-08 09:24:00'),</v>
      </c>
      <c r="ABM2" t="str">
        <v>(4710,514,'TSLA',331.17,'BUY','2024-04-24 23:05:00'),</v>
      </c>
      <c r="ABN2" t="str">
        <v>(1691,966,'META',758.25,'SELL','2024-02-26 20:52:00'),</v>
      </c>
      <c r="ABO2" t="str">
        <v>(5297,995,'META',553.68,'SELL','2024-01-30 15:59:00'),</v>
      </c>
      <c r="ABP2" t="str">
        <v>(7922,423,'TSLA',749.92,'BUY','2024-03-13 04:52:00'),</v>
      </c>
      <c r="ABQ2" t="str">
        <v>(7531,776,'META',175.79,'SELL','2024-01-22 15:01:00'),</v>
      </c>
      <c r="ABR2" t="str">
        <v>(7531,345,'MSFT',224.25,'SELL','2024-02-22 13:27:00'),</v>
      </c>
      <c r="ABS2" t="str">
        <v>(6298,588,'META',805.71,'BUY','2024-02-26 20:31:00'),</v>
      </c>
      <c r="ABT2" t="str">
        <v>(7938,260,'AMZN',650.26,'SELL','2024-02-22 00:29:00'),</v>
      </c>
      <c r="ABU2" t="str">
        <v>(9952,480,'META',357.05,'SELL','2024-03-20 13:15:00'),</v>
      </c>
      <c r="ABV2" t="str">
        <v>(7938,979,'TSLA',275.71,'BUY','2024-01-15 09:24:00'),</v>
      </c>
      <c r="ABW2" t="str">
        <v>(5297,797,'MSFT',397.15,'BUY','2024-01-01 12:10:00'),</v>
      </c>
      <c r="ABX2" t="str">
        <v>(5297,983,'AMZN',295.25,'SELL','2024-04-11 06:54:00'),</v>
      </c>
      <c r="ABY2" t="str">
        <v>(9094,996,'AMZN',379.8,'SELL','2024-05-24 03:01:00'),</v>
      </c>
      <c r="ABZ2" t="str">
        <v>(6298,588,'MSFT',321.23,'BUY','2024-04-10 13:57:00'),</v>
      </c>
      <c r="ACA2" t="str">
        <v>(4168,299,'MSFT',690.97,'SELL','2024-04-02 22:26:00'),</v>
      </c>
      <c r="ACB2" t="str">
        <v>(5705,421,'MSFT',408.26,'SELL','2024-04-26 07:03:00'),</v>
      </c>
      <c r="ACC2" t="str">
        <v>(9952,451,'META',640.11,'SELL','2024-04-02 18:06:00'),</v>
      </c>
      <c r="ACD2" t="str">
        <v>(6298,106,'MSFT',976.4,'BUY','2024-05-11 20:46:00'),</v>
      </c>
      <c r="ACE2" t="str">
        <v>(2941,719,'MSFT',458.51,'SELL','2024-02-01 18:28:00'),</v>
      </c>
      <c r="ACF2" t="str">
        <v>(4669,843,'META',701.45,'BUY','2024-05-05 08:34:00'),</v>
      </c>
      <c r="ACG2" t="str">
        <v>(9094,962,'META',996.68,'BUY','2024-04-03 03:33:00'),</v>
      </c>
      <c r="ACH2" t="str">
        <v>(4669,961,'TSLA',909.49,'BUY','2024-02-21 13:32:00'),</v>
      </c>
      <c r="ACI2" t="str">
        <v>(7531,801,'MSFT',406.24,'BUY','2024-03-25 16:22:00'),</v>
      </c>
      <c r="ACJ2" t="str">
        <v>(4669,752,'MSFT',966.7,'BUY','2024-04-20 16:49:00'),</v>
      </c>
      <c r="ACK2" t="str">
        <v>(9094,657,'TSLA',370.78,'SELL','2024-03-03 20:50:00'),</v>
      </c>
      <c r="ACL2" t="str">
        <v>(1691,564,'MSFT',296.78,'BUY','2024-05-11 22:47:00'),</v>
      </c>
      <c r="ACM2" t="str">
        <v>(7531,64,'MSFT',262.46,'SELL','2024-04-16 13:51:00'),</v>
      </c>
      <c r="ACN2" t="str">
        <v>(4710,129,'TSLA',426.91,'BUY','2024-02-13 01:01:00'),</v>
      </c>
      <c r="ACO2" t="str">
        <v>(6298,312,'TSLA',816.95,'SELL','2024-04-28 07:09:00'),</v>
      </c>
      <c r="ACP2" t="str">
        <v>(7531,789,'TSLA',374.97,'SELL','2024-05-14 10:52:00'),</v>
      </c>
      <c r="ACQ2" t="str">
        <v>(5705,764,'AMZN',196.22,'BUY','2024-03-02 04:15:00'),</v>
      </c>
      <c r="ACR2" t="str">
        <v>(6298,338,'MSFT',391.28,'BUY','2024-05-29 14:16:00'),</v>
      </c>
      <c r="ACS2" t="str">
        <v>(1691,270,'TSLA',531.72,'SELL','2024-02-24 08:42:00'),</v>
      </c>
      <c r="ACT2" t="str">
        <v>(6298,859,'TSLA',812.28,'BUY','2024-02-23 15:24:00'),</v>
      </c>
      <c r="ACU2" t="str">
        <v>(2941,93,'TSLA',727.16,'SELL','2024-05-29 09:00:00'),</v>
      </c>
      <c r="ACV2" t="str">
        <v>(5297,169,'META',555.97,'BUY','2024-01-09 02:15:00'),</v>
      </c>
      <c r="ACW2" t="str">
        <v>(9952,325,'AMZN',955.83,'BUY','2024-05-25 14:52:00'),</v>
      </c>
      <c r="ACX2" t="str">
        <v>(6298,342,'TSLA',810.98,'BUY','2024-05-20 01:49:00'),</v>
      </c>
      <c r="ACY2" t="str">
        <v>(5705,410,'AMZN',928.34,'SELL','2024-04-23 19:44:00'),</v>
      </c>
      <c r="ACZ2" t="str">
        <v>(7938,5,'META',666.91,'BUY','2024-05-17 16:35:00'),</v>
      </c>
      <c r="ADA2" t="str">
        <v>(5751,41,'MSFT',703.14,'BUY','2024-03-06 19:30:00'),</v>
      </c>
      <c r="ADB2" t="str">
        <v>(4168,954,'META',947.25,'BUY','2024-02-04 06:45:00'),</v>
      </c>
      <c r="ADC2" t="str">
        <v>(5751,433,'AMZN',629.49,'SELL','2024-01-10 01:27:00'),</v>
      </c>
      <c r="ADD2" t="str">
        <v>(9952,847,'TSLA',745.25,'BUY','2024-01-22 15:10:00'),</v>
      </c>
      <c r="ADE2" t="str">
        <v>(7938,980,'TSLA',808.79,'SELL','2024-03-29 08:06:00'),</v>
      </c>
      <c r="ADF2" t="str">
        <v>(9094,540,'MSFT',768.55,'BUY','2024-02-28 11:10:00'),</v>
      </c>
      <c r="ADG2" t="str">
        <v>(5705,757,'AMZN',419.8,'BUY','2024-03-08 16:02:00'),</v>
      </c>
      <c r="ADH2" t="str">
        <v>(6298,667,'MSFT',924.47,'BUY','2024-01-14 21:14:00'),</v>
      </c>
      <c r="ADI2" t="str">
        <v>(5297,757,'TSLA',450.97,'BUY','2024-04-21 16:38:00'),</v>
      </c>
      <c r="ADJ2" t="str">
        <v>(9952,276,'AMZN',338.84,'BUY','2024-05-26 16:00:00'),</v>
      </c>
      <c r="ADK2" t="str">
        <v>(5705,894,'MSFT',456.12,'BUY','2024-03-01 15:57:00'),</v>
      </c>
      <c r="ADL2" t="str">
        <v>(5751,635,'TSLA',428.89,'BUY','2024-03-13 00:20:00'),</v>
      </c>
      <c r="ADM2" t="str">
        <v>(5705,389,'TSLA',683.41,'SELL','2024-04-26 12:38:00'),</v>
      </c>
      <c r="ADN2" t="str">
        <v>(1691,943,'AMZN',380.98,'SELL','2024-02-04 12:00:00'),</v>
      </c>
      <c r="ADO2" t="str">
        <v>(5258,851,'TSLA',953.12,'SELL','2024-04-25 08:39:00'),</v>
      </c>
      <c r="ADP2" t="str">
        <v>(4710,208,'TSLA',813.91,'BUY','2024-03-14 04:51:00'),</v>
      </c>
      <c r="ADQ2" t="str">
        <v>(5258,442,'MSFT',343.45,'SELL','2024-01-23 12:08:00'),</v>
      </c>
      <c r="ADR2" t="str">
        <v>(4669,591,'AMZN',107.84,'SELL','2024-03-30 09:00:00'),</v>
      </c>
      <c r="ADS2" t="str">
        <v>(1691,695,'MSFT',877.93,'BUY','2024-01-11 05:07:00'),</v>
      </c>
      <c r="ADT2" t="str">
        <v>(4710,306,'META',505.17,'BUY','2024-03-22 22:15:00'),</v>
      </c>
      <c r="ADU2" t="str">
        <v>(7938,200,'AMZN',545.12,'BUY','2024-02-14 09:00:00'),</v>
      </c>
      <c r="ADV2" t="str">
        <v>(7938,657,'MSFT',384.99,'SELL','2024-01-13 07:18:00'),</v>
      </c>
      <c r="ADW2" t="str">
        <v>(4168,614,'TSLA',375.34,'BUY','2024-02-27 23:01:00'),</v>
      </c>
      <c r="ADX2" t="str">
        <v>(2941,635,'META',211.66,'SELL','2024-01-01 03:09:00'),</v>
      </c>
      <c r="ADY2" t="str">
        <v>(4710,697,'META',852.59,'SELL','2024-05-08 12:30:00'),</v>
      </c>
      <c r="ADZ2" t="str">
        <v>(9094,158,'META',353.62,'SELL','2024-05-01 15:50:00'),</v>
      </c>
      <c r="AEA2" t="str">
        <v>(7922,327,'AMZN',411.79,'BUY','2024-05-19 08:17:00'),</v>
      </c>
      <c r="AEB2" t="str">
        <v>(9094,529,'MSFT',276.42,'SELL','2024-05-01 22:48:00'),</v>
      </c>
      <c r="AEC2" t="str">
        <v>(1691,487,'META',523.7,'SELL','2024-03-08 06:03:00'),</v>
      </c>
      <c r="AED2" t="str">
        <v>(6298,385,'MSFT',219.42,'BUY','2024-02-09 06:00:00'),</v>
      </c>
      <c r="AEE2" t="str">
        <v>(2941,939,'MSFT',980.26,'SELL','2024-01-16 02:20:00'),</v>
      </c>
      <c r="AEF2" t="str">
        <v>(5705,682,'AMZN',639.16,'SELL','2024-03-30 07:03:00'),</v>
      </c>
      <c r="AEG2" t="str">
        <v>(2941,60,'MSFT',203.59,'SELL','2024-03-03 22:23:00'),</v>
      </c>
      <c r="AEH2" t="str">
        <v>(5258,364,'MSFT',565.67,'SELL','2024-01-18 12:03:00'),</v>
      </c>
      <c r="AEI2" t="str">
        <v>(7922,734,'TSLA',682.61,'BUY','2024-01-03 17:14:00'),</v>
      </c>
      <c r="AEJ2" t="str">
        <v>(9094,293,'TSLA',255.31,'BUY','2024-04-30 07:18:00'),</v>
      </c>
      <c r="AEK2" t="str">
        <v>(9094,299,'AMZN',157.55,'BUY','2024-03-01 04:07:00'),</v>
      </c>
      <c r="AEL2" t="str">
        <v>(7531,262,'MSFT',203.32,'BUY','2024-01-20 15:53:00'),</v>
      </c>
      <c r="AEM2" t="str">
        <v>(9952,238,'MSFT',644.44,'SELL','2024-01-03 11:05:00'),</v>
      </c>
      <c r="AEN2" t="str">
        <v>(5705,776,'TSLA',569.59,'BUY','2024-05-21 08:39:00'),</v>
      </c>
      <c r="AEO2" t="str">
        <v>(4168,489,'AMZN',891.36,'SELL','2024-05-13 23:01:00'),</v>
      </c>
      <c r="AEP2" t="str">
        <v>(6298,53,'AMZN',315.46,'SELL','2024-02-13 08:59:00'),</v>
      </c>
      <c r="AEQ2" t="str">
        <v>(5751,491,'TSLA',652.18,'SELL','2024-04-21 19:48:00'),</v>
      </c>
      <c r="AER2" t="str">
        <v>(4669,222,'MSFT',989.03,'BUY','2024-04-23 00:39:00'),</v>
      </c>
      <c r="AES2" t="str">
        <v>(2941,535,'META',588.38,'SELL','2024-01-30 11:28:00'),</v>
      </c>
      <c r="AET2" t="str">
        <v>(5705,470,'TSLA',740.72,'SELL','2024-03-26 03:24:00'),</v>
      </c>
      <c r="AEU2" t="str">
        <v>(5705,608,'TSLA',599.29,'BUY','2024-01-26 19:49:00'),</v>
      </c>
      <c r="AEV2" t="str">
        <v>(9094,237,'TSLA',347.92,'SELL','2024-01-19 20:46:00'),</v>
      </c>
      <c r="AEW2" t="str">
        <v>(7531,290,'TSLA',347.07,'SELL','2024-03-29 15:46:00'),</v>
      </c>
      <c r="AEX2" t="str">
        <v>(5751,65,'META',636.72,'BUY','2024-02-15 00:58:00'),</v>
      </c>
      <c r="AEY2" t="str">
        <v>(7922,554,'META',336.88,'SELL','2024-02-09 09:17:00'),</v>
      </c>
      <c r="AEZ2" t="str">
        <v>(4669,659,'META',956.33,'SELL','2024-03-04 15:46:00'),</v>
      </c>
      <c r="AFA2" t="str">
        <v>(5297,569,'META',735.95,'BUY','2024-01-13 06:14:00'),</v>
      </c>
      <c r="AFB2" t="str">
        <v>(5751,691,'AMZN',326.08,'BUY','2024-02-09 10:06:00'),</v>
      </c>
      <c r="AFC2" t="str">
        <v>(4168,125,'MSFT',961.63,'SELL','2024-02-10 15:44:00'),</v>
      </c>
      <c r="AFD2" t="str">
        <v>(4168,380,'META',723.32,'SELL','2024-03-18 12:34:00'),</v>
      </c>
      <c r="AFE2" t="str">
        <v>(1691,545,'AMZN',998.39,'BUY','2024-03-05 15:40:00'),</v>
      </c>
      <c r="AFF2" t="str">
        <v>(5751,415,'META',644.89,'BUY','2024-03-14 06:54:00'),</v>
      </c>
      <c r="AFG2" t="str">
        <v>(1691,140,'META',768.52,'BUY','2024-05-07 22:56:00'),</v>
      </c>
      <c r="AFH2" t="str">
        <v>(5751,357,'AMZN',936.33,'BUY','2024-04-03 14:09:00'),</v>
      </c>
      <c r="AFI2" t="str">
        <v>(2941,527,'META',909.56,'SELL','2024-05-16 16:42:00'),</v>
      </c>
      <c r="AFJ2" t="str">
        <v>(4168,935,'META',500.21,'BUY','2024-02-01 11:57:00'),</v>
      </c>
      <c r="AFK2" t="str">
        <v>(9094,733,'META',630.29,'SELL','2024-04-21 09:49:00'),</v>
      </c>
      <c r="AFL2" t="str">
        <v>(5751,203,'AMZN',135.85,'BUY','2024-02-29 09:02:00'),</v>
      </c>
      <c r="AFM2" t="str">
        <v>(6298,158,'META',283.98,'SELL','2024-03-10 17:24:00'),</v>
      </c>
      <c r="AFN2" t="str">
        <v>(4669,703,'META',908.65,'SELL','2024-03-14 18:36:00'),</v>
      </c>
      <c r="AFO2" t="str">
        <v>(5751,18,'MSFT',360.96,'SELL','2024-02-01 14:57:00'),</v>
      </c>
      <c r="AFP2" t="str">
        <v>(4669,263,'AMZN',414.67,'SELL','2024-01-31 03:38:00'),</v>
      </c>
      <c r="AFQ2" t="str">
        <v>(7531,125,'AMZN',710.05,'BUY','2024-03-15 09:49:00'),</v>
      </c>
      <c r="AFR2" t="str">
        <v>(9094,238,'MSFT',496.65,'BUY','2024-02-13 07:31:00'),</v>
      </c>
      <c r="AFS2" t="str">
        <v>(9952,567,'META',952.31,'BUY','2024-04-21 03:18:00'),</v>
      </c>
      <c r="AFT2" t="str">
        <v>(4168,53,'AMZN',832.58,'SELL','2024-04-19 01:05:00'),</v>
      </c>
      <c r="AFU2" t="str">
        <v>(7938,281,'MSFT',569.1,'SELL','2024-03-12 07:26:00'),</v>
      </c>
      <c r="AFV2" t="str">
        <v>(4168,619,'AMZN',172.35,'SELL','2024-01-23 06:07:00'),</v>
      </c>
      <c r="AFW2" t="str">
        <v>(6298,311,'MSFT',320.7,'SELL','2024-01-14 15:34:00'),</v>
      </c>
      <c r="AFX2" t="str">
        <v>(1691,817,'META',844.46,'BUY','2024-03-25 10:12:00'),</v>
      </c>
      <c r="AFY2" t="str">
        <v>(6298,508,'AMZN',997.18,'SELL','2024-03-24 10:42:00'),</v>
      </c>
      <c r="AFZ2" t="str">
        <v>(5258,972,'AMZN',718.65,'SELL','2024-05-30 21:52:00'),</v>
      </c>
      <c r="AGA2" t="str">
        <v>(2941,50,'MSFT',142.96,'SELL','2024-05-13 00:09:00'),</v>
      </c>
      <c r="AGB2" t="str">
        <v>(9952,372,'META',962.61,'SELL','2024-02-12 11:11:00'),</v>
      </c>
      <c r="AGC2" t="str">
        <v>(9094,501,'META',846.78,'SELL','2024-02-01 06:39:00'),</v>
      </c>
      <c r="AGD2" t="str">
        <v>(4168,725,'META',668.0,'SELL','2024-05-24 01:15:00'),</v>
      </c>
      <c r="AGE2" t="str">
        <v>(5258,551,'AMZN',294.95,'BUY','2024-02-18 06:17:00'),</v>
      </c>
      <c r="AGF2" t="str">
        <v>(4168,211,'MSFT',720.16,'BUY','2024-01-27 12:18:00'),</v>
      </c>
      <c r="AGG2" t="str">
        <v>(4669,100,'META',771.01,'SELL','2024-05-12 05:23:00'),</v>
      </c>
      <c r="AGH2" t="str">
        <v>(7531,939,'AMZN',966.77,'SELL','2024-02-05 04:27:00'),</v>
      </c>
      <c r="AGI2" t="str">
        <v>(4710,677,'META',962.49,'BUY','2024-05-15 16:17:00'),</v>
      </c>
      <c r="AGJ2" t="str">
        <v>(7922,956,'META',504.94,'SELL','2024-03-25 02:55:00'),</v>
      </c>
      <c r="AGK2" t="str">
        <v>(9094,813,'AMZN',432.04,'SELL','2024-03-30 12:41:00'),</v>
      </c>
      <c r="AGL2" t="str">
        <v>(5751,910,'META',847.54,'SELL','2024-04-26 20:29:00'),</v>
      </c>
      <c r="AGM2" t="str">
        <v>(4168,764,'AMZN',137.48,'SELL','2024-04-05 09:35:00'),</v>
      </c>
      <c r="AGN2" t="str">
        <v>(5258,776,'AMZN',772.68,'BUY','2024-03-17 20:07:00'),</v>
      </c>
      <c r="AGO2" t="str">
        <v>(5297,263,'MSFT',237.47,'SELL','2024-04-05 18:29:00'),</v>
      </c>
      <c r="AGP2" t="str">
        <v>(7922,878,'META',136.19,'BUY','2024-04-19 07:26:00'),</v>
      </c>
      <c r="AGQ2" t="str">
        <v>(5258,619,'TSLA',873.64,'BUY','2024-04-07 16:13:00'),</v>
      </c>
      <c r="AGR2" t="str">
        <v>(1691,982,'AMZN',878.28,'SELL','2024-04-01 00:15:00'),</v>
      </c>
      <c r="AGS2" t="str">
        <v>(4168,331,'MSFT',200.83,'BUY','2024-02-16 22:08:00'),</v>
      </c>
      <c r="AGT2" t="str">
        <v>(4669,990,'AMZN',575.82,'BUY','2024-05-30 02:23:00'),</v>
      </c>
      <c r="AGU2" t="str">
        <v>(7531,2,'AMZN',845.41,'SELL','2024-05-21 04:07:00'),</v>
      </c>
      <c r="AGV2" t="str">
        <v>(4669,288,'MSFT',386.46,'BUY','2024-05-29 23:35:00'),</v>
      </c>
      <c r="AGW2" t="str">
        <v>(9952,803,'AMZN',860.04,'SELL','2024-02-18 09:23:00'),</v>
      </c>
      <c r="AGX2" t="str">
        <v>(5705,644,'MSFT',126.02,'SELL','2024-04-18 20:21:00'),</v>
      </c>
      <c r="AGY2" t="str">
        <v>(5705,372,'MSFT',556.06,'SELL','2024-01-25 16:44:00'),</v>
      </c>
      <c r="AGZ2" t="str">
        <v>(7531,863,'AMZN',605.56,'SELL','2024-04-17 04:16:00'),</v>
      </c>
      <c r="AHA2" t="str">
        <v>(4710,786,'META',434.7,'SELL','2024-04-01 01:02:00'),</v>
      </c>
      <c r="AHB2" t="str">
        <v>(9952,354,'TSLA',803.15,'BUY','2024-02-03 06:58:00'),</v>
      </c>
      <c r="AHC2" t="str">
        <v>(4168,303,'AMZN',896.51,'BUY','2024-04-12 12:45:00'),</v>
      </c>
      <c r="AHD2" t="str">
        <v>(7922,680,'META',811.65,'SELL','2024-03-22 03:55:00'),</v>
      </c>
      <c r="AHE2" t="str">
        <v>(5705,114,'META',483.07,'SELL','2024-01-23 22:49:00'),</v>
      </c>
      <c r="AHF2" t="str">
        <v>(7922,966,'META',530.3,'BUY','2024-05-30 02:38:00'),</v>
      </c>
      <c r="AHG2" t="str">
        <v>(7938,236,'TSLA',411.94,'BUY','2024-05-08 08:38:00'),</v>
      </c>
      <c r="AHH2" t="str">
        <v>(5258,747,'MSFT',623.85,'SELL','2024-03-02 23:55:00'),</v>
      </c>
      <c r="AHI2" t="str">
        <v>(5751,420,'MSFT',130.0,'SELL','2024-01-12 05:25:00'),</v>
      </c>
      <c r="AHJ2" t="str">
        <v>(5258,266,'TSLA',451.35,'SELL','2024-03-01 06:52:00'),</v>
      </c>
      <c r="AHK2" t="str">
        <v>(7922,899,'META',329.31,'BUY','2024-04-07 20:58:00'),</v>
      </c>
      <c r="AHL2" t="str">
        <v>(5258,529,'MSFT',574.87,'SELL','2024-01-23 05:33:00'),</v>
      </c>
      <c r="AHM2" t="str">
        <v>(7531,134,'TSLA',354.86,'SELL','2024-02-03 08:29:00'),</v>
      </c>
      <c r="AHN2" t="str">
        <v>(6298,373,'META',876.08,'BUY','2024-03-31 14:15:00'),</v>
      </c>
      <c r="AHO2" t="str">
        <v>(7531,285,'AMZN',955.91,'BUY','2024-03-07 06:17:00'),</v>
      </c>
      <c r="AHP2" t="str">
        <v>(5297,404,'AMZN',586.99,'SELL','2024-05-16 04:10:00'),</v>
      </c>
      <c r="AHQ2" t="str">
        <v>(5258,68,'MSFT',126.23,'BUY','2024-05-18 08:26:00'),</v>
      </c>
      <c r="AHR2" t="str">
        <v>(4669,281,'AMZN',281.5,'SELL','2024-04-08 17:16:00'),</v>
      </c>
      <c r="AHS2" t="str">
        <v>(4710,175,'MSFT',332.52,'SELL','2024-03-13 20:39:00'),</v>
      </c>
      <c r="AHT2" t="str">
        <v>(5258,625,'MSFT',159.09,'SELL','2024-04-17 10:30:00'),</v>
      </c>
      <c r="AHU2" t="str">
        <v>(5258,760,'META',936.69,'BUY','2024-03-23 05:23:00'),</v>
      </c>
      <c r="AHV2" t="str">
        <v>(6298,311,'MSFT',885.56,'BUY','2024-03-10 16:32:00'),</v>
      </c>
      <c r="AHW2" t="str">
        <v>(4710,748,'MSFT',878.85,'SELL','2024-03-16 01:42:00'),</v>
      </c>
      <c r="AHX2" t="str">
        <v>(4669,471,'TSLA',734.01,'SELL','2024-03-11 03:08:00'),</v>
      </c>
      <c r="AHY2" t="str">
        <v>(6298,984,'MSFT',601.05,'SELL','2024-02-04 17:21:00'),</v>
      </c>
      <c r="AHZ2" t="str">
        <v>(6298,294,'TSLA',219.6,'BUY','2024-04-07 16:38:00'),</v>
      </c>
      <c r="AIA2" t="str">
        <v>(5258,555,'AMZN',812.01,'SELL','2024-01-31 23:20:00'),</v>
      </c>
      <c r="AIB2" t="str">
        <v>(9094,589,'META',410.11,'SELL','2024-01-31 21:31:00'),</v>
      </c>
      <c r="AIC2" t="str">
        <v>(5258,715,'AMZN',480.34,'SELL','2024-02-03 11:26:00'),</v>
      </c>
      <c r="AID2" t="str">
        <v>(6298,70,'META',943.45,'BUY','2024-04-01 18:47:00'),</v>
      </c>
      <c r="AIE2" t="str">
        <v>(2941,877,'MSFT',256.16,'BUY','2024-04-19 13:52:00'),</v>
      </c>
      <c r="AIF2" t="str">
        <v>(2941,619,'AMZN',943.86,'BUY','2024-03-17 10:31:00'),</v>
      </c>
      <c r="AIG2" t="str">
        <v>(5297,381,'AMZN',888.51,'BUY','2024-05-12 03:23:00'),</v>
      </c>
      <c r="AIH2" t="str">
        <v>(7938,199,'META',988.31,'BUY','2024-02-25 11:12:00'),</v>
      </c>
      <c r="AII2" t="str">
        <v>(2941,501,'MSFT',526.68,'SELL','2024-05-04 01:40:00'),</v>
      </c>
      <c r="AIJ2" t="str">
        <v>(5751,635,'META',406.63,'SELL','2024-04-20 22:57:00'),</v>
      </c>
      <c r="AIK2" t="str">
        <v>(9952,805,'META',192.06,'BUY','2024-01-03 19:02:00'),</v>
      </c>
      <c r="AIL2" t="str">
        <v>(9094,393,'MSFT',218.56,'SELL','2024-02-14 04:36:00'),</v>
      </c>
      <c r="AIM2" t="str">
        <v>(5751,219,'META',342.12,'BUY','2024-02-13 21:27:00'),</v>
      </c>
      <c r="AIN2" t="str">
        <v>(9952,721,'META',377.22,'BUY','2024-02-08 03:47:00'),</v>
      </c>
      <c r="AIO2" t="str">
        <v>(4168,693,'MSFT',617.86,'BUY','2024-02-07 20:39:00'),</v>
      </c>
      <c r="AIP2" t="str">
        <v>(7531,279,'AMZN',963.4,'SELL','2024-02-13 07:39:00'),</v>
      </c>
      <c r="AIQ2" t="str">
        <v>(5297,629,'AMZN',688.39,'BUY','2024-04-18 22:11:00'),</v>
      </c>
      <c r="AIR2" t="str">
        <v>(5297,56,'TSLA',804.29,'BUY','2024-05-18 01:58:00'),</v>
      </c>
      <c r="AIS2" t="str">
        <v>(7531,356,'AMZN',390.49,'BUY','2024-02-03 06:54:00'),</v>
      </c>
      <c r="AIT2" t="str">
        <v>(5751,821,'MSFT',385.22,'BUY','2024-02-23 12:52:00'),</v>
      </c>
      <c r="AIU2" t="str">
        <v>(9094,439,'MSFT',109.96,'SELL','2024-05-07 10:37:00'),</v>
      </c>
      <c r="AIV2" t="str">
        <v>(9094,710,'TSLA',113.05,'BUY','2024-02-05 16:30:00'),</v>
      </c>
      <c r="AIW2" t="str">
        <v>(6298,398,'MSFT',227.55,'SELL','2024-03-15 13:57:00'),</v>
      </c>
      <c r="AIX2" t="str">
        <v>(1691,298,'MSFT',513.01,'SELL','2024-02-26 01:22:00'),</v>
      </c>
      <c r="AIY2" t="str">
        <v>(9094,685,'AMZN',411.63,'BUY','2024-04-20 02:54:00'),</v>
      </c>
      <c r="AIZ2" t="str">
        <v>(6298,539,'TSLA',226.38,'SELL','2024-04-17 03:48:00'),</v>
      </c>
      <c r="AJA2" t="str">
        <v>(2941,943,'TSLA',195.4,'BUY','2024-04-20 09:44:00'),</v>
      </c>
      <c r="AJB2" t="str">
        <v>(7531,437,'AMZN',963.35,'SELL','2024-02-03 23:08:00'),</v>
      </c>
      <c r="AJC2" t="str">
        <v>(6298,775,'AMZN',998.02,'BUY','2024-01-10 05:01:00'),</v>
      </c>
      <c r="AJD2" t="str">
        <v>(6298,718,'AMZN',593.98,'SELL','2024-04-25 22:50:00'),</v>
      </c>
      <c r="AJE2" t="str">
        <v>(4710,368,'META',505.54,'BUY','2024-02-05 14:11:00'),</v>
      </c>
      <c r="AJF2" t="str">
        <v>(2941,835,'META',100.57,'SELL','2024-05-17 01:42:00'),</v>
      </c>
      <c r="AJG2" t="str">
        <v>(4168,982,'TSLA',247.18,'BUY','2024-05-23 10:13:00'),</v>
      </c>
      <c r="AJH2" t="str">
        <v>(5297,278,'AMZN',987.06,'SELL','2024-04-30 06:12:00'),</v>
      </c>
      <c r="AJI2" t="str">
        <v>(7938,157,'AMZN',529.09,'BUY','2024-05-09 11:48:00'),</v>
      </c>
      <c r="AJJ2" t="str">
        <v>(4669,946,'AMZN',203.28,'BUY','2024-03-25 22:10:00'),</v>
      </c>
      <c r="AJK2" t="str">
        <v>(9094,482,'TSLA',765.93,'SELL','2024-05-11 03:43:00'),</v>
      </c>
      <c r="AJL2" t="str">
        <v>(6298,692,'TSLA',465.72,'BUY','2024-02-17 14:10:00'),</v>
      </c>
      <c r="AJM2" t="str">
        <v>(5705,635,'AMZN',109.84,'BUY','2024-04-18 05:29:00'),</v>
      </c>
      <c r="AJN2" t="str">
        <v>(7922,438,'META',654.68,'BUY','2024-02-29 02:48:00'),</v>
      </c>
      <c r="AJO2" t="str">
        <v>(7938,458,'META',665.06,'SELL','2024-05-19 12:49:00'),</v>
      </c>
      <c r="AJP2" t="str">
        <v>(6298,614,'MSFT',687.06,'SELL','2024-04-13 18:00:00'),</v>
      </c>
      <c r="AJQ2" t="str">
        <v>(4710,388,'MSFT',449.38,'BUY','2024-02-26 09:14:00'),</v>
      </c>
      <c r="AJR2" t="str">
        <v>(7938,1000,'META',350.72,'SELL','2024-02-19 02:28:00'),</v>
      </c>
      <c r="AJS2" t="str">
        <v>(5751,195,'TSLA',699.07,'SELL','2024-01-10 11:57:00'),</v>
      </c>
      <c r="AJT2" t="str">
        <v>(5751,927,'META',124.84,'BUY','2024-01-05 04:35:00'),</v>
      </c>
      <c r="AJU2" t="str">
        <v>(4168,824,'MSFT',623.4,'SELL','2024-03-25 16:29:00'),</v>
      </c>
      <c r="AJV2" t="str">
        <v>(5751,927,'MSFT',765.99,'SELL','2024-05-17 00:05:00'),</v>
      </c>
      <c r="AJW2" t="str">
        <v>(4710,980,'META',332.94,'SELL','2024-01-03 02:00:00'),</v>
      </c>
      <c r="AJX2" t="str">
        <v>(5258,550,'MSFT',325.99,'BUY','2024-04-20 10:08:00'),</v>
      </c>
      <c r="AJY2" t="str">
        <v>(7531,95,'MSFT',102.06,'BUY','2024-05-28 19:31:00'),</v>
      </c>
      <c r="AJZ2" t="str">
        <v>(5705,574,'META',648.12,'BUY','2024-01-05 19:38:00'),</v>
      </c>
      <c r="AKA2" t="str">
        <v>(9952,704,'META',740.46,'BUY','2024-01-06 05:18:00'),</v>
      </c>
      <c r="AKB2" t="str">
        <v>(6298,86,'TSLA',558.5,'SELL','2024-05-10 06:44:00'),</v>
      </c>
      <c r="AKC2" t="str">
        <v>(1691,779,'MSFT',224.37,'SELL','2024-03-23 09:38:00'),</v>
      </c>
      <c r="AKD2" t="str">
        <v>(9952,533,'TSLA',856.48,'SELL','2024-03-06 21:08:00'),</v>
      </c>
      <c r="AKE2" t="str">
        <v>(5258,516,'MSFT',932.37,'SELL','2024-03-09 21:06:00'),</v>
      </c>
      <c r="AKF2" t="str">
        <v>(1691,655,'TSLA',188.15,'SELL','2024-05-23 21:47:00'),</v>
      </c>
      <c r="AKG2" t="str">
        <v>(4669,445,'MSFT',394.57,'SELL','2024-05-25 01:44:00'),</v>
      </c>
      <c r="AKH2" t="str">
        <v>(5705,754,'MSFT',185.3,'BUY','2024-01-07 14:24:00'),</v>
      </c>
      <c r="AKI2" t="str">
        <v>(6298,751,'MSFT',311.14,'BUY','2024-05-27 20:57:00'),</v>
      </c>
      <c r="AKJ2" t="str">
        <v>(4710,101,'TSLA',250.48,'BUY','2024-01-01 04:59:00'),</v>
      </c>
      <c r="AKK2" t="str">
        <v>(6298,512,'MSFT',137.19,'BUY','2024-05-17 12:50:00'),</v>
      </c>
      <c r="AKL2" t="str">
        <v>(5258,341,'MSFT',512.37,'SELL','2024-04-22 04:01:00'),</v>
      </c>
      <c r="AKM2" t="str">
        <v>(7922,217,'AMZN',738.44,'BUY','2024-01-20 07:12:00'),</v>
      </c>
      <c r="AKN2" t="str">
        <v>(6298,788,'META',404.81,'SELL','2024-02-25 23:05:00'),</v>
      </c>
      <c r="AKO2" t="str">
        <v>(5705,806,'MSFT',877.8,'BUY','2024-03-16 22:44:00'),</v>
      </c>
      <c r="AKP2" t="str">
        <v>(1691,951,'MSFT',872.35,'BUY','2024-03-14 21:05:00'),</v>
      </c>
      <c r="AKQ2" t="str">
        <v>(4669,531,'TSLA',738.09,'BUY','2024-03-17 06:00:00'),</v>
      </c>
      <c r="AKR2" t="str">
        <v>(7531,878,'MSFT',157.63,'SELL','2024-02-10 12:32:00'),</v>
      </c>
      <c r="AKS2" t="str">
        <v>(7938,898,'META',840.35,'BUY','2024-01-21 18:54:00'),</v>
      </c>
      <c r="AKT2" t="str">
        <v>(9094,746,'TSLA',280.56,'BUY','2024-05-21 14:03:00'),</v>
      </c>
      <c r="AKU2" t="str">
        <v>(5297,213,'TSLA',725.67,'SELL','2024-02-15 22:05:00'),</v>
      </c>
      <c r="AKV2" t="str">
        <v>(9952,538,'META',993.45,'SELL','2024-02-12 12:31:00'),</v>
      </c>
      <c r="AKW2" t="str">
        <v>(6298,81,'META',946.21,'BUY','2024-05-30 10:14:00'),</v>
      </c>
      <c r="AKX2" t="str">
        <v>(5751,90,'META',743.23,'SELL','2024-05-30 21:20:00'),</v>
      </c>
      <c r="AKY2" t="str">
        <v>(4168,837,'TSLA',961.99,'SELL','2024-04-14 17:22:00'),</v>
      </c>
      <c r="AKZ2" t="str">
        <v>(5705,696,'META',246.95,'BUY','2024-01-25 01:05:00'),</v>
      </c>
      <c r="ALA2" t="str">
        <v>(9952,245,'MSFT',938.69,'SELL','2024-05-19 13:50:00'),</v>
      </c>
      <c r="ALB2" t="str">
        <v>(6298,91,'META',492.31,'SELL','2024-02-18 02:34:00'),</v>
      </c>
      <c r="ALC2" t="str">
        <v>(9952,368,'TSLA',263.44,'SELL','2024-02-16 21:18:00'),</v>
      </c>
      <c r="ALD2" t="str">
        <v>(5258,838,'MSFT',842.67,'SELL','2024-03-07 00:30:00'),</v>
      </c>
      <c r="ALE2" t="str">
        <v>(9952,449,'META',778.09,'BUY','2024-05-13 13:35:00'),</v>
      </c>
      <c r="ALF2" t="str">
        <v>(7922,964,'AMZN',131.7,'SELL','2024-03-13 11:44:00'),</v>
      </c>
      <c r="ALG2" t="str">
        <v>(7531,155,'MSFT',348.47,'SELL','2024-04-24 11:50:00'),</v>
      </c>
      <c r="ALH2" t="str">
        <v>(6298,5,'META',948.76,'BUY','2024-04-01 02:57:00'),</v>
      </c>
      <c r="ALI2" t="str">
        <v>(5705,486,'META',623.67,'BUY','2024-05-30 16:16:00'),</v>
      </c>
      <c r="ALJ2" t="str">
        <v>(2941,438,'TSLA',728.59,'BUY','2024-02-08 09:36:00'),</v>
      </c>
      <c r="ALK2" t="str">
        <v>(5751,40,'MSFT',355.56,'BUY','2024-03-01 19:36:00'),</v>
      </c>
      <c r="ALL2" t="str">
        <v>(9094,201,'MSFT',393.97,'SELL','2024-03-09 20:44:00'),</v>
      </c>
      <c r="ALM2" t="str">
        <v>(4669,911,'AMZN',656.53,'BUY','2024-05-07 19:40:00'),</v>
      </c>
      <c r="ALN2" t="str">
        <v>(1691,773,'MSFT',446.79,'SELL','2024-02-22 10:10:00'),</v>
      </c>
      <c r="ALO2" t="str">
        <v>(7531,505,'META',926.23,'SELL','2024-05-17 04:43:00'),</v>
      </c>
      <c r="ALP2" t="str">
        <v>(5751,682,'META',606.37,'BUY','2024-04-12 22:25:00'),</v>
      </c>
      <c r="ALQ2" t="str">
        <v>(1691,65,'TSLA',670.62,'SELL','2024-05-27 12:34:00'),</v>
      </c>
      <c r="ALR2" t="str">
        <v>(2941,275,'TSLA',997.35,'SELL','2024-04-05 11:13:00'),</v>
      </c>
      <c r="ALS2" t="str">
        <v>(5258,785,'AMZN',578.38,'BUY','2024-02-07 03:10:00'),</v>
      </c>
      <c r="ALT2" t="str">
        <v>(4669,680,'META',692.58,'SELL','2024-01-31 07:28:00'),</v>
      </c>
      <c r="ALU2" t="str">
        <v>(4168,895,'MSFT',348.33,'SELL','2024-05-18 06:15:00'),</v>
      </c>
      <c r="ALV2" t="str">
        <v>(7531,434,'META',839.58,'SELL','2024-05-09 08:13:00'),</v>
      </c>
      <c r="ALW2" t="str">
        <v>(7922,614,'AMZN',907.59,'SELL','2024-02-28 07:56:00'),</v>
      </c>
      <c r="ALX2" t="str">
        <v>(7531,601,'AMZN',109.53,'SELL','2024-02-17 05:58:00'),</v>
      </c>
      <c r="ALY2" t="str">
        <v>(7938,175,'META',435.44,'SELL','2024-01-16 23:27:00'),</v>
      </c>
      <c r="ALZ2" t="str">
        <v>(6298,946,'MSFT',538.36,'BUY','2024-05-27 02:15:00'),</v>
      </c>
    </row>
    <row r="3" spans="1:1014" x14ac:dyDescent="0.2">
      <c r="A3">
        <v>6298</v>
      </c>
      <c r="B3">
        <v>295</v>
      </c>
      <c r="C3" t="s">
        <v>1063</v>
      </c>
      <c r="D3" t="s">
        <v>1064</v>
      </c>
      <c r="E3" t="s">
        <v>1062</v>
      </c>
      <c r="F3" s="8" t="s">
        <v>2063</v>
      </c>
      <c r="G3" t="str">
        <f t="shared" ref="G3:G66" si="2">"("&amp;A3&amp;","</f>
        <v>(6298,</v>
      </c>
      <c r="H3" t="str">
        <f t="shared" ref="H3:H66" si="3">B3&amp;","</f>
        <v>295,</v>
      </c>
      <c r="I3" t="str">
        <f t="shared" ref="I3:I66" si="4">"'"&amp;C3&amp;"',"</f>
        <v>'META',</v>
      </c>
      <c r="J3" t="str">
        <f t="shared" ref="J3:J66" si="5">D3&amp;","</f>
        <v>510.4,</v>
      </c>
      <c r="K3" t="str">
        <f t="shared" ref="K3:K66" si="6">"'"&amp;E3&amp;"',"</f>
        <v>'SELL',</v>
      </c>
      <c r="L3" t="str">
        <f t="shared" ref="L3:L66" si="7">"'"&amp;F3&amp;"'),"</f>
        <v>'2024-05-09 16:43:00'),</v>
      </c>
      <c r="M3" t="str">
        <f t="shared" ref="M3:M66" si="8">G3&amp;H3&amp;I3&amp;J3&amp;K3&amp;L3</f>
        <v>(6298,295,'META',510.4,'SELL','2024-05-09 16:43:00'),</v>
      </c>
    </row>
    <row r="4" spans="1:1014" x14ac:dyDescent="0.2">
      <c r="A4">
        <v>5258</v>
      </c>
      <c r="B4">
        <v>812</v>
      </c>
      <c r="C4" t="s">
        <v>1060</v>
      </c>
      <c r="D4" t="s">
        <v>1065</v>
      </c>
      <c r="E4" t="s">
        <v>1062</v>
      </c>
      <c r="F4" s="8" t="s">
        <v>2064</v>
      </c>
      <c r="G4" t="str">
        <f t="shared" si="2"/>
        <v>(5258,</v>
      </c>
      <c r="H4" t="str">
        <f t="shared" si="3"/>
        <v>812,</v>
      </c>
      <c r="I4" t="str">
        <f t="shared" si="4"/>
        <v>'TSLA',</v>
      </c>
      <c r="J4" t="str">
        <f t="shared" si="5"/>
        <v>565.97,</v>
      </c>
      <c r="K4" t="str">
        <f t="shared" si="6"/>
        <v>'SELL',</v>
      </c>
      <c r="L4" t="str">
        <f t="shared" si="7"/>
        <v>'2024-03-02 02:07:00'),</v>
      </c>
      <c r="M4" t="str">
        <f t="shared" si="8"/>
        <v>(5258,812,'TSLA',565.97,'SELL','2024-03-02 02:07:00'),</v>
      </c>
    </row>
    <row r="5" spans="1:1014" x14ac:dyDescent="0.2">
      <c r="A5">
        <v>4669</v>
      </c>
      <c r="B5">
        <v>530</v>
      </c>
      <c r="C5" t="s">
        <v>1066</v>
      </c>
      <c r="D5" t="s">
        <v>1067</v>
      </c>
      <c r="E5" t="s">
        <v>1068</v>
      </c>
      <c r="F5" s="8" t="s">
        <v>2065</v>
      </c>
      <c r="G5" t="str">
        <f t="shared" si="2"/>
        <v>(4669,</v>
      </c>
      <c r="H5" t="str">
        <f t="shared" si="3"/>
        <v>530,</v>
      </c>
      <c r="I5" t="str">
        <f t="shared" si="4"/>
        <v>'AMZN',</v>
      </c>
      <c r="J5" t="str">
        <f t="shared" si="5"/>
        <v>136.06,</v>
      </c>
      <c r="K5" t="str">
        <f t="shared" si="6"/>
        <v>'BUY',</v>
      </c>
      <c r="L5" t="str">
        <f t="shared" si="7"/>
        <v>'2024-03-21 00:09:00'),</v>
      </c>
      <c r="M5" t="str">
        <f t="shared" si="8"/>
        <v>(4669,530,'AMZN',136.06,'BUY','2024-03-21 00:09:00'),</v>
      </c>
    </row>
    <row r="6" spans="1:1014" x14ac:dyDescent="0.2">
      <c r="A6">
        <v>4669</v>
      </c>
      <c r="B6">
        <v>232</v>
      </c>
      <c r="C6" t="s">
        <v>1069</v>
      </c>
      <c r="D6" t="s">
        <v>1070</v>
      </c>
      <c r="E6" t="s">
        <v>1062</v>
      </c>
      <c r="F6" s="8" t="s">
        <v>2066</v>
      </c>
      <c r="G6" t="str">
        <f t="shared" si="2"/>
        <v>(4669,</v>
      </c>
      <c r="H6" t="str">
        <f t="shared" si="3"/>
        <v>232,</v>
      </c>
      <c r="I6" t="str">
        <f t="shared" si="4"/>
        <v>'MSFT',</v>
      </c>
      <c r="J6" t="str">
        <f t="shared" si="5"/>
        <v>824.07,</v>
      </c>
      <c r="K6" t="str">
        <f t="shared" si="6"/>
        <v>'SELL',</v>
      </c>
      <c r="L6" t="str">
        <f t="shared" si="7"/>
        <v>'2024-03-15 17:16:00'),</v>
      </c>
      <c r="M6" t="str">
        <f t="shared" si="8"/>
        <v>(4669,232,'MSFT',824.07,'SELL','2024-03-15 17:16:00'),</v>
      </c>
    </row>
    <row r="7" spans="1:1014" x14ac:dyDescent="0.2">
      <c r="A7">
        <v>7938</v>
      </c>
      <c r="B7">
        <v>521</v>
      </c>
      <c r="C7" t="s">
        <v>1063</v>
      </c>
      <c r="D7" t="s">
        <v>1071</v>
      </c>
      <c r="E7" t="s">
        <v>1062</v>
      </c>
      <c r="F7" s="8" t="s">
        <v>2067</v>
      </c>
      <c r="G7" t="str">
        <f t="shared" si="2"/>
        <v>(7938,</v>
      </c>
      <c r="H7" t="str">
        <f t="shared" si="3"/>
        <v>521,</v>
      </c>
      <c r="I7" t="str">
        <f t="shared" si="4"/>
        <v>'META',</v>
      </c>
      <c r="J7" t="str">
        <f t="shared" si="5"/>
        <v>332.56,</v>
      </c>
      <c r="K7" t="str">
        <f t="shared" si="6"/>
        <v>'SELL',</v>
      </c>
      <c r="L7" t="str">
        <f t="shared" si="7"/>
        <v>'2024-05-11 23:29:00'),</v>
      </c>
      <c r="M7" t="str">
        <f t="shared" si="8"/>
        <v>(7938,521,'META',332.56,'SELL','2024-05-11 23:29:00'),</v>
      </c>
    </row>
    <row r="8" spans="1:1014" x14ac:dyDescent="0.2">
      <c r="A8">
        <v>9952</v>
      </c>
      <c r="B8">
        <v>510</v>
      </c>
      <c r="C8" t="s">
        <v>1069</v>
      </c>
      <c r="D8" t="s">
        <v>1072</v>
      </c>
      <c r="E8" t="s">
        <v>1062</v>
      </c>
      <c r="F8" s="8" t="s">
        <v>2068</v>
      </c>
      <c r="G8" t="str">
        <f t="shared" si="2"/>
        <v>(9952,</v>
      </c>
      <c r="H8" t="str">
        <f t="shared" si="3"/>
        <v>510,</v>
      </c>
      <c r="I8" t="str">
        <f t="shared" si="4"/>
        <v>'MSFT',</v>
      </c>
      <c r="J8" t="str">
        <f t="shared" si="5"/>
        <v>399.97,</v>
      </c>
      <c r="K8" t="str">
        <f t="shared" si="6"/>
        <v>'SELL',</v>
      </c>
      <c r="L8" t="str">
        <f t="shared" si="7"/>
        <v>'2024-01-23 21:18:00'),</v>
      </c>
      <c r="M8" t="str">
        <f t="shared" si="8"/>
        <v>(9952,510,'MSFT',399.97,'SELL','2024-01-23 21:18:00'),</v>
      </c>
    </row>
    <row r="9" spans="1:1014" x14ac:dyDescent="0.2">
      <c r="A9">
        <v>7531</v>
      </c>
      <c r="B9">
        <v>95</v>
      </c>
      <c r="C9" t="s">
        <v>1069</v>
      </c>
      <c r="D9" t="s">
        <v>1073</v>
      </c>
      <c r="E9" t="s">
        <v>1068</v>
      </c>
      <c r="F9" s="8" t="s">
        <v>2069</v>
      </c>
      <c r="G9" t="str">
        <f t="shared" si="2"/>
        <v>(7531,</v>
      </c>
      <c r="H9" t="str">
        <f t="shared" si="3"/>
        <v>95,</v>
      </c>
      <c r="I9" t="str">
        <f t="shared" si="4"/>
        <v>'MSFT',</v>
      </c>
      <c r="J9" t="str">
        <f t="shared" si="5"/>
        <v>452.08,</v>
      </c>
      <c r="K9" t="str">
        <f t="shared" si="6"/>
        <v>'BUY',</v>
      </c>
      <c r="L9" t="str">
        <f t="shared" si="7"/>
        <v>'2024-01-19 17:33:00'),</v>
      </c>
      <c r="M9" t="str">
        <f t="shared" si="8"/>
        <v>(7531,95,'MSFT',452.08,'BUY','2024-01-19 17:33:00'),</v>
      </c>
    </row>
    <row r="10" spans="1:1014" x14ac:dyDescent="0.2">
      <c r="A10">
        <v>7938</v>
      </c>
      <c r="B10">
        <v>376</v>
      </c>
      <c r="C10" t="s">
        <v>1063</v>
      </c>
      <c r="D10" t="s">
        <v>1074</v>
      </c>
      <c r="E10" t="s">
        <v>1068</v>
      </c>
      <c r="F10" s="8" t="s">
        <v>2070</v>
      </c>
      <c r="G10" t="str">
        <f t="shared" si="2"/>
        <v>(7938,</v>
      </c>
      <c r="H10" t="str">
        <f t="shared" si="3"/>
        <v>376,</v>
      </c>
      <c r="I10" t="str">
        <f t="shared" si="4"/>
        <v>'META',</v>
      </c>
      <c r="J10" t="str">
        <f t="shared" si="5"/>
        <v>329.33,</v>
      </c>
      <c r="K10" t="str">
        <f t="shared" si="6"/>
        <v>'BUY',</v>
      </c>
      <c r="L10" t="str">
        <f t="shared" si="7"/>
        <v>'2024-02-21 02:41:00'),</v>
      </c>
      <c r="M10" t="str">
        <f t="shared" si="8"/>
        <v>(7938,376,'META',329.33,'BUY','2024-02-21 02:41:00'),</v>
      </c>
    </row>
    <row r="11" spans="1:1014" x14ac:dyDescent="0.2">
      <c r="A11">
        <v>5751</v>
      </c>
      <c r="B11">
        <v>569</v>
      </c>
      <c r="C11" t="s">
        <v>1060</v>
      </c>
      <c r="D11" t="s">
        <v>1075</v>
      </c>
      <c r="E11" t="s">
        <v>1068</v>
      </c>
      <c r="F11" s="8" t="s">
        <v>2071</v>
      </c>
      <c r="G11" t="str">
        <f t="shared" si="2"/>
        <v>(5751,</v>
      </c>
      <c r="H11" t="str">
        <f t="shared" si="3"/>
        <v>569,</v>
      </c>
      <c r="I11" t="str">
        <f t="shared" si="4"/>
        <v>'TSLA',</v>
      </c>
      <c r="J11" t="str">
        <f t="shared" si="5"/>
        <v>283.62,</v>
      </c>
      <c r="K11" t="str">
        <f t="shared" si="6"/>
        <v>'BUY',</v>
      </c>
      <c r="L11" t="str">
        <f t="shared" si="7"/>
        <v>'2024-04-19 20:21:00'),</v>
      </c>
      <c r="M11" t="str">
        <f t="shared" si="8"/>
        <v>(5751,569,'TSLA',283.62,'BUY','2024-04-19 20:21:00'),</v>
      </c>
    </row>
    <row r="12" spans="1:1014" x14ac:dyDescent="0.2">
      <c r="A12">
        <v>5751</v>
      </c>
      <c r="B12">
        <v>793</v>
      </c>
      <c r="C12" t="s">
        <v>1069</v>
      </c>
      <c r="D12" t="s">
        <v>1076</v>
      </c>
      <c r="E12" t="s">
        <v>1068</v>
      </c>
      <c r="F12" s="8" t="s">
        <v>2072</v>
      </c>
      <c r="G12" t="str">
        <f t="shared" si="2"/>
        <v>(5751,</v>
      </c>
      <c r="H12" t="str">
        <f t="shared" si="3"/>
        <v>793,</v>
      </c>
      <c r="I12" t="str">
        <f t="shared" si="4"/>
        <v>'MSFT',</v>
      </c>
      <c r="J12" t="str">
        <f t="shared" si="5"/>
        <v>140.36,</v>
      </c>
      <c r="K12" t="str">
        <f t="shared" si="6"/>
        <v>'BUY',</v>
      </c>
      <c r="L12" t="str">
        <f t="shared" si="7"/>
        <v>'2024-03-17 06:16:00'),</v>
      </c>
      <c r="M12" t="str">
        <f t="shared" si="8"/>
        <v>(5751,793,'MSFT',140.36,'BUY','2024-03-17 06:16:00'),</v>
      </c>
    </row>
    <row r="13" spans="1:1014" x14ac:dyDescent="0.2">
      <c r="A13">
        <v>9952</v>
      </c>
      <c r="B13">
        <v>870</v>
      </c>
      <c r="C13" t="s">
        <v>1066</v>
      </c>
      <c r="D13" t="s">
        <v>1077</v>
      </c>
      <c r="E13" t="s">
        <v>1062</v>
      </c>
      <c r="F13" s="8" t="s">
        <v>2073</v>
      </c>
      <c r="G13" t="str">
        <f t="shared" si="2"/>
        <v>(9952,</v>
      </c>
      <c r="H13" t="str">
        <f t="shared" si="3"/>
        <v>870,</v>
      </c>
      <c r="I13" t="str">
        <f t="shared" si="4"/>
        <v>'AMZN',</v>
      </c>
      <c r="J13" t="str">
        <f t="shared" si="5"/>
        <v>399.04,</v>
      </c>
      <c r="K13" t="str">
        <f t="shared" si="6"/>
        <v>'SELL',</v>
      </c>
      <c r="L13" t="str">
        <f t="shared" si="7"/>
        <v>'2024-05-24 18:16:00'),</v>
      </c>
      <c r="M13" t="str">
        <f t="shared" si="8"/>
        <v>(9952,870,'AMZN',399.04,'SELL','2024-05-24 18:16:00'),</v>
      </c>
    </row>
    <row r="14" spans="1:1014" x14ac:dyDescent="0.2">
      <c r="A14">
        <v>9094</v>
      </c>
      <c r="B14">
        <v>885</v>
      </c>
      <c r="C14" t="s">
        <v>1063</v>
      </c>
      <c r="D14" t="s">
        <v>1078</v>
      </c>
      <c r="E14" t="s">
        <v>1068</v>
      </c>
      <c r="F14" s="8" t="s">
        <v>2074</v>
      </c>
      <c r="G14" t="str">
        <f t="shared" si="2"/>
        <v>(9094,</v>
      </c>
      <c r="H14" t="str">
        <f t="shared" si="3"/>
        <v>885,</v>
      </c>
      <c r="I14" t="str">
        <f t="shared" si="4"/>
        <v>'META',</v>
      </c>
      <c r="J14" t="str">
        <f t="shared" si="5"/>
        <v>750.24,</v>
      </c>
      <c r="K14" t="str">
        <f t="shared" si="6"/>
        <v>'BUY',</v>
      </c>
      <c r="L14" t="str">
        <f t="shared" si="7"/>
        <v>'2024-04-03 17:41:00'),</v>
      </c>
      <c r="M14" t="str">
        <f t="shared" si="8"/>
        <v>(9094,885,'META',750.24,'BUY','2024-04-03 17:41:00'),</v>
      </c>
    </row>
    <row r="15" spans="1:1014" x14ac:dyDescent="0.2">
      <c r="A15">
        <v>7938</v>
      </c>
      <c r="B15">
        <v>461</v>
      </c>
      <c r="C15" t="s">
        <v>1060</v>
      </c>
      <c r="D15" t="s">
        <v>1079</v>
      </c>
      <c r="E15" t="s">
        <v>1068</v>
      </c>
      <c r="F15" s="8" t="s">
        <v>2075</v>
      </c>
      <c r="G15" t="str">
        <f t="shared" si="2"/>
        <v>(7938,</v>
      </c>
      <c r="H15" t="str">
        <f t="shared" si="3"/>
        <v>461,</v>
      </c>
      <c r="I15" t="str">
        <f t="shared" si="4"/>
        <v>'TSLA',</v>
      </c>
      <c r="J15" t="str">
        <f t="shared" si="5"/>
        <v>969.26,</v>
      </c>
      <c r="K15" t="str">
        <f t="shared" si="6"/>
        <v>'BUY',</v>
      </c>
      <c r="L15" t="str">
        <f t="shared" si="7"/>
        <v>'2024-02-03 08:04:00'),</v>
      </c>
      <c r="M15" t="str">
        <f t="shared" si="8"/>
        <v>(7938,461,'TSLA',969.26,'BUY','2024-02-03 08:04:00'),</v>
      </c>
    </row>
    <row r="16" spans="1:1014" x14ac:dyDescent="0.2">
      <c r="A16">
        <v>9952</v>
      </c>
      <c r="B16">
        <v>580</v>
      </c>
      <c r="C16" t="s">
        <v>1063</v>
      </c>
      <c r="D16" t="s">
        <v>1080</v>
      </c>
      <c r="E16" t="s">
        <v>1062</v>
      </c>
      <c r="F16" s="8" t="s">
        <v>2076</v>
      </c>
      <c r="G16" t="str">
        <f t="shared" si="2"/>
        <v>(9952,</v>
      </c>
      <c r="H16" t="str">
        <f t="shared" si="3"/>
        <v>580,</v>
      </c>
      <c r="I16" t="str">
        <f t="shared" si="4"/>
        <v>'META',</v>
      </c>
      <c r="J16" t="str">
        <f t="shared" si="5"/>
        <v>408.09,</v>
      </c>
      <c r="K16" t="str">
        <f t="shared" si="6"/>
        <v>'SELL',</v>
      </c>
      <c r="L16" t="str">
        <f t="shared" si="7"/>
        <v>'2024-04-19 13:51:00'),</v>
      </c>
      <c r="M16" t="str">
        <f t="shared" si="8"/>
        <v>(9952,580,'META',408.09,'SELL','2024-04-19 13:51:00'),</v>
      </c>
    </row>
    <row r="17" spans="1:13" x14ac:dyDescent="0.2">
      <c r="A17">
        <v>5297</v>
      </c>
      <c r="B17">
        <v>695</v>
      </c>
      <c r="C17" t="s">
        <v>1063</v>
      </c>
      <c r="D17" t="s">
        <v>1081</v>
      </c>
      <c r="E17" t="s">
        <v>1062</v>
      </c>
      <c r="F17" s="8" t="s">
        <v>2077</v>
      </c>
      <c r="G17" t="str">
        <f t="shared" si="2"/>
        <v>(5297,</v>
      </c>
      <c r="H17" t="str">
        <f t="shared" si="3"/>
        <v>695,</v>
      </c>
      <c r="I17" t="str">
        <f t="shared" si="4"/>
        <v>'META',</v>
      </c>
      <c r="J17" t="str">
        <f t="shared" si="5"/>
        <v>922.39,</v>
      </c>
      <c r="K17" t="str">
        <f t="shared" si="6"/>
        <v>'SELL',</v>
      </c>
      <c r="L17" t="str">
        <f t="shared" si="7"/>
        <v>'2024-02-07 07:39:00'),</v>
      </c>
      <c r="M17" t="str">
        <f t="shared" si="8"/>
        <v>(5297,695,'META',922.39,'SELL','2024-02-07 07:39:00'),</v>
      </c>
    </row>
    <row r="18" spans="1:13" x14ac:dyDescent="0.2">
      <c r="A18">
        <v>5705</v>
      </c>
      <c r="B18">
        <v>731</v>
      </c>
      <c r="C18" t="s">
        <v>1066</v>
      </c>
      <c r="D18" t="s">
        <v>1082</v>
      </c>
      <c r="E18" t="s">
        <v>1068</v>
      </c>
      <c r="F18" s="8" t="s">
        <v>2078</v>
      </c>
      <c r="G18" t="str">
        <f t="shared" si="2"/>
        <v>(5705,</v>
      </c>
      <c r="H18" t="str">
        <f t="shared" si="3"/>
        <v>731,</v>
      </c>
      <c r="I18" t="str">
        <f t="shared" si="4"/>
        <v>'AMZN',</v>
      </c>
      <c r="J18" t="str">
        <f t="shared" si="5"/>
        <v>806.26,</v>
      </c>
      <c r="K18" t="str">
        <f t="shared" si="6"/>
        <v>'BUY',</v>
      </c>
      <c r="L18" t="str">
        <f t="shared" si="7"/>
        <v>'2024-05-09 08:59:00'),</v>
      </c>
      <c r="M18" t="str">
        <f t="shared" si="8"/>
        <v>(5705,731,'AMZN',806.26,'BUY','2024-05-09 08:59:00'),</v>
      </c>
    </row>
    <row r="19" spans="1:13" x14ac:dyDescent="0.2">
      <c r="A19">
        <v>5705</v>
      </c>
      <c r="B19">
        <v>45</v>
      </c>
      <c r="C19" t="s">
        <v>1066</v>
      </c>
      <c r="D19" t="s">
        <v>1083</v>
      </c>
      <c r="E19" t="s">
        <v>1068</v>
      </c>
      <c r="F19" s="8" t="s">
        <v>2079</v>
      </c>
      <c r="G19" t="str">
        <f t="shared" si="2"/>
        <v>(5705,</v>
      </c>
      <c r="H19" t="str">
        <f t="shared" si="3"/>
        <v>45,</v>
      </c>
      <c r="I19" t="str">
        <f t="shared" si="4"/>
        <v>'AMZN',</v>
      </c>
      <c r="J19" t="str">
        <f t="shared" si="5"/>
        <v>119.97,</v>
      </c>
      <c r="K19" t="str">
        <f t="shared" si="6"/>
        <v>'BUY',</v>
      </c>
      <c r="L19" t="str">
        <f t="shared" si="7"/>
        <v>'2024-05-10 07:01:00'),</v>
      </c>
      <c r="M19" t="str">
        <f t="shared" si="8"/>
        <v>(5705,45,'AMZN',119.97,'BUY','2024-05-10 07:01:00'),</v>
      </c>
    </row>
    <row r="20" spans="1:13" x14ac:dyDescent="0.2">
      <c r="A20">
        <v>5705</v>
      </c>
      <c r="B20">
        <v>801</v>
      </c>
      <c r="C20" t="s">
        <v>1069</v>
      </c>
      <c r="D20" t="s">
        <v>1084</v>
      </c>
      <c r="E20" t="s">
        <v>1062</v>
      </c>
      <c r="F20" s="8" t="s">
        <v>2080</v>
      </c>
      <c r="G20" t="str">
        <f t="shared" si="2"/>
        <v>(5705,</v>
      </c>
      <c r="H20" t="str">
        <f t="shared" si="3"/>
        <v>801,</v>
      </c>
      <c r="I20" t="str">
        <f t="shared" si="4"/>
        <v>'MSFT',</v>
      </c>
      <c r="J20" t="str">
        <f t="shared" si="5"/>
        <v>413.82,</v>
      </c>
      <c r="K20" t="str">
        <f t="shared" si="6"/>
        <v>'SELL',</v>
      </c>
      <c r="L20" t="str">
        <f t="shared" si="7"/>
        <v>'2024-02-09 01:37:00'),</v>
      </c>
      <c r="M20" t="str">
        <f t="shared" si="8"/>
        <v>(5705,801,'MSFT',413.82,'SELL','2024-02-09 01:37:00'),</v>
      </c>
    </row>
    <row r="21" spans="1:13" x14ac:dyDescent="0.2">
      <c r="A21">
        <v>6298</v>
      </c>
      <c r="B21">
        <v>870</v>
      </c>
      <c r="C21" t="s">
        <v>1060</v>
      </c>
      <c r="D21" t="s">
        <v>1085</v>
      </c>
      <c r="E21" t="s">
        <v>1068</v>
      </c>
      <c r="F21" s="8" t="s">
        <v>2081</v>
      </c>
      <c r="G21" t="str">
        <f t="shared" si="2"/>
        <v>(6298,</v>
      </c>
      <c r="H21" t="str">
        <f t="shared" si="3"/>
        <v>870,</v>
      </c>
      <c r="I21" t="str">
        <f t="shared" si="4"/>
        <v>'TSLA',</v>
      </c>
      <c r="J21" t="str">
        <f t="shared" si="5"/>
        <v>948.6,</v>
      </c>
      <c r="K21" t="str">
        <f t="shared" si="6"/>
        <v>'BUY',</v>
      </c>
      <c r="L21" t="str">
        <f t="shared" si="7"/>
        <v>'2024-05-06 18:19:00'),</v>
      </c>
      <c r="M21" t="str">
        <f t="shared" si="8"/>
        <v>(6298,870,'TSLA',948.6,'BUY','2024-05-06 18:19:00'),</v>
      </c>
    </row>
    <row r="22" spans="1:13" x14ac:dyDescent="0.2">
      <c r="A22">
        <v>4710</v>
      </c>
      <c r="B22">
        <v>121</v>
      </c>
      <c r="C22" t="s">
        <v>1069</v>
      </c>
      <c r="D22" t="s">
        <v>1086</v>
      </c>
      <c r="E22" t="s">
        <v>1062</v>
      </c>
      <c r="F22" s="8" t="s">
        <v>2082</v>
      </c>
      <c r="G22" t="str">
        <f t="shared" si="2"/>
        <v>(4710,</v>
      </c>
      <c r="H22" t="str">
        <f t="shared" si="3"/>
        <v>121,</v>
      </c>
      <c r="I22" t="str">
        <f t="shared" si="4"/>
        <v>'MSFT',</v>
      </c>
      <c r="J22" t="str">
        <f t="shared" si="5"/>
        <v>515.17,</v>
      </c>
      <c r="K22" t="str">
        <f t="shared" si="6"/>
        <v>'SELL',</v>
      </c>
      <c r="L22" t="str">
        <f t="shared" si="7"/>
        <v>'2024-04-29 11:59:00'),</v>
      </c>
      <c r="M22" t="str">
        <f t="shared" si="8"/>
        <v>(4710,121,'MSFT',515.17,'SELL','2024-04-29 11:59:00'),</v>
      </c>
    </row>
    <row r="23" spans="1:13" x14ac:dyDescent="0.2">
      <c r="A23">
        <v>9094</v>
      </c>
      <c r="B23">
        <v>978</v>
      </c>
      <c r="C23" t="s">
        <v>1069</v>
      </c>
      <c r="D23" t="s">
        <v>1087</v>
      </c>
      <c r="E23" t="s">
        <v>1068</v>
      </c>
      <c r="F23" s="8" t="s">
        <v>2083</v>
      </c>
      <c r="G23" t="str">
        <f t="shared" si="2"/>
        <v>(9094,</v>
      </c>
      <c r="H23" t="str">
        <f t="shared" si="3"/>
        <v>978,</v>
      </c>
      <c r="I23" t="str">
        <f t="shared" si="4"/>
        <v>'MSFT',</v>
      </c>
      <c r="J23" t="str">
        <f t="shared" si="5"/>
        <v>181.3,</v>
      </c>
      <c r="K23" t="str">
        <f t="shared" si="6"/>
        <v>'BUY',</v>
      </c>
      <c r="L23" t="str">
        <f t="shared" si="7"/>
        <v>'2024-05-11 15:53:00'),</v>
      </c>
      <c r="M23" t="str">
        <f t="shared" si="8"/>
        <v>(9094,978,'MSFT',181.3,'BUY','2024-05-11 15:53:00'),</v>
      </c>
    </row>
    <row r="24" spans="1:13" x14ac:dyDescent="0.2">
      <c r="A24">
        <v>5297</v>
      </c>
      <c r="B24">
        <v>828</v>
      </c>
      <c r="C24" t="s">
        <v>1066</v>
      </c>
      <c r="D24" t="s">
        <v>1088</v>
      </c>
      <c r="E24" t="s">
        <v>1062</v>
      </c>
      <c r="F24" s="8" t="s">
        <v>2084</v>
      </c>
      <c r="G24" t="str">
        <f t="shared" si="2"/>
        <v>(5297,</v>
      </c>
      <c r="H24" t="str">
        <f t="shared" si="3"/>
        <v>828,</v>
      </c>
      <c r="I24" t="str">
        <f t="shared" si="4"/>
        <v>'AMZN',</v>
      </c>
      <c r="J24" t="str">
        <f t="shared" si="5"/>
        <v>445.17,</v>
      </c>
      <c r="K24" t="str">
        <f t="shared" si="6"/>
        <v>'SELL',</v>
      </c>
      <c r="L24" t="str">
        <f t="shared" si="7"/>
        <v>'2024-01-18 19:19:00'),</v>
      </c>
      <c r="M24" t="str">
        <f t="shared" si="8"/>
        <v>(5297,828,'AMZN',445.17,'SELL','2024-01-18 19:19:00'),</v>
      </c>
    </row>
    <row r="25" spans="1:13" x14ac:dyDescent="0.2">
      <c r="A25">
        <v>4669</v>
      </c>
      <c r="B25">
        <v>278</v>
      </c>
      <c r="C25" t="s">
        <v>1060</v>
      </c>
      <c r="D25" t="s">
        <v>1089</v>
      </c>
      <c r="E25" t="s">
        <v>1062</v>
      </c>
      <c r="F25" s="8" t="s">
        <v>2085</v>
      </c>
      <c r="G25" t="str">
        <f t="shared" si="2"/>
        <v>(4669,</v>
      </c>
      <c r="H25" t="str">
        <f t="shared" si="3"/>
        <v>278,</v>
      </c>
      <c r="I25" t="str">
        <f t="shared" si="4"/>
        <v>'TSLA',</v>
      </c>
      <c r="J25" t="str">
        <f t="shared" si="5"/>
        <v>664.63,</v>
      </c>
      <c r="K25" t="str">
        <f t="shared" si="6"/>
        <v>'SELL',</v>
      </c>
      <c r="L25" t="str">
        <f t="shared" si="7"/>
        <v>'2024-01-06 15:02:00'),</v>
      </c>
      <c r="M25" t="str">
        <f t="shared" si="8"/>
        <v>(4669,278,'TSLA',664.63,'SELL','2024-01-06 15:02:00'),</v>
      </c>
    </row>
    <row r="26" spans="1:13" x14ac:dyDescent="0.2">
      <c r="A26">
        <v>5297</v>
      </c>
      <c r="B26">
        <v>728</v>
      </c>
      <c r="C26" t="s">
        <v>1060</v>
      </c>
      <c r="D26" t="s">
        <v>1090</v>
      </c>
      <c r="E26" t="s">
        <v>1062</v>
      </c>
      <c r="F26" s="8" t="s">
        <v>2086</v>
      </c>
      <c r="G26" t="str">
        <f t="shared" si="2"/>
        <v>(5297,</v>
      </c>
      <c r="H26" t="str">
        <f t="shared" si="3"/>
        <v>728,</v>
      </c>
      <c r="I26" t="str">
        <f t="shared" si="4"/>
        <v>'TSLA',</v>
      </c>
      <c r="J26" t="str">
        <f t="shared" si="5"/>
        <v>386.12,</v>
      </c>
      <c r="K26" t="str">
        <f t="shared" si="6"/>
        <v>'SELL',</v>
      </c>
      <c r="L26" t="str">
        <f t="shared" si="7"/>
        <v>'2024-01-26 10:40:00'),</v>
      </c>
      <c r="M26" t="str">
        <f t="shared" si="8"/>
        <v>(5297,728,'TSLA',386.12,'SELL','2024-01-26 10:40:00'),</v>
      </c>
    </row>
    <row r="27" spans="1:13" x14ac:dyDescent="0.2">
      <c r="A27">
        <v>5705</v>
      </c>
      <c r="B27">
        <v>75</v>
      </c>
      <c r="C27" t="s">
        <v>1069</v>
      </c>
      <c r="D27" t="s">
        <v>1091</v>
      </c>
      <c r="E27" t="s">
        <v>1068</v>
      </c>
      <c r="F27" s="8" t="s">
        <v>2087</v>
      </c>
      <c r="G27" t="str">
        <f t="shared" si="2"/>
        <v>(5705,</v>
      </c>
      <c r="H27" t="str">
        <f t="shared" si="3"/>
        <v>75,</v>
      </c>
      <c r="I27" t="str">
        <f t="shared" si="4"/>
        <v>'MSFT',</v>
      </c>
      <c r="J27" t="str">
        <f t="shared" si="5"/>
        <v>700.33,</v>
      </c>
      <c r="K27" t="str">
        <f t="shared" si="6"/>
        <v>'BUY',</v>
      </c>
      <c r="L27" t="str">
        <f t="shared" si="7"/>
        <v>'2024-02-27 22:09:00'),</v>
      </c>
      <c r="M27" t="str">
        <f t="shared" si="8"/>
        <v>(5705,75,'MSFT',700.33,'BUY','2024-02-27 22:09:00'),</v>
      </c>
    </row>
    <row r="28" spans="1:13" x14ac:dyDescent="0.2">
      <c r="A28">
        <v>6298</v>
      </c>
      <c r="B28">
        <v>260</v>
      </c>
      <c r="C28" t="s">
        <v>1060</v>
      </c>
      <c r="D28" t="s">
        <v>1092</v>
      </c>
      <c r="E28" t="s">
        <v>1068</v>
      </c>
      <c r="F28" s="8" t="s">
        <v>2088</v>
      </c>
      <c r="G28" t="str">
        <f t="shared" si="2"/>
        <v>(6298,</v>
      </c>
      <c r="H28" t="str">
        <f t="shared" si="3"/>
        <v>260,</v>
      </c>
      <c r="I28" t="str">
        <f t="shared" si="4"/>
        <v>'TSLA',</v>
      </c>
      <c r="J28" t="str">
        <f t="shared" si="5"/>
        <v>383.0,</v>
      </c>
      <c r="K28" t="str">
        <f t="shared" si="6"/>
        <v>'BUY',</v>
      </c>
      <c r="L28" t="str">
        <f t="shared" si="7"/>
        <v>'2024-01-28 20:07:00'),</v>
      </c>
      <c r="M28" t="str">
        <f t="shared" si="8"/>
        <v>(6298,260,'TSLA',383.0,'BUY','2024-01-28 20:07:00'),</v>
      </c>
    </row>
    <row r="29" spans="1:13" x14ac:dyDescent="0.2">
      <c r="A29">
        <v>7922</v>
      </c>
      <c r="B29">
        <v>538</v>
      </c>
      <c r="C29" t="s">
        <v>1063</v>
      </c>
      <c r="D29" t="s">
        <v>1093</v>
      </c>
      <c r="E29" t="s">
        <v>1062</v>
      </c>
      <c r="F29" s="8" t="s">
        <v>2089</v>
      </c>
      <c r="G29" t="str">
        <f t="shared" si="2"/>
        <v>(7922,</v>
      </c>
      <c r="H29" t="str">
        <f t="shared" si="3"/>
        <v>538,</v>
      </c>
      <c r="I29" t="str">
        <f t="shared" si="4"/>
        <v>'META',</v>
      </c>
      <c r="J29" t="str">
        <f t="shared" si="5"/>
        <v>578.31,</v>
      </c>
      <c r="K29" t="str">
        <f t="shared" si="6"/>
        <v>'SELL',</v>
      </c>
      <c r="L29" t="str">
        <f t="shared" si="7"/>
        <v>'2024-03-18 05:33:00'),</v>
      </c>
      <c r="M29" t="str">
        <f t="shared" si="8"/>
        <v>(7922,538,'META',578.31,'SELL','2024-03-18 05:33:00'),</v>
      </c>
    </row>
    <row r="30" spans="1:13" x14ac:dyDescent="0.2">
      <c r="A30">
        <v>7922</v>
      </c>
      <c r="B30">
        <v>297</v>
      </c>
      <c r="C30" t="s">
        <v>1060</v>
      </c>
      <c r="D30" t="s">
        <v>1094</v>
      </c>
      <c r="E30" t="s">
        <v>1068</v>
      </c>
      <c r="F30" s="8" t="s">
        <v>2090</v>
      </c>
      <c r="G30" t="str">
        <f t="shared" si="2"/>
        <v>(7922,</v>
      </c>
      <c r="H30" t="str">
        <f t="shared" si="3"/>
        <v>297,</v>
      </c>
      <c r="I30" t="str">
        <f t="shared" si="4"/>
        <v>'TSLA',</v>
      </c>
      <c r="J30" t="str">
        <f t="shared" si="5"/>
        <v>290.65,</v>
      </c>
      <c r="K30" t="str">
        <f t="shared" si="6"/>
        <v>'BUY',</v>
      </c>
      <c r="L30" t="str">
        <f t="shared" si="7"/>
        <v>'2024-04-02 16:06:00'),</v>
      </c>
      <c r="M30" t="str">
        <f t="shared" si="8"/>
        <v>(7922,297,'TSLA',290.65,'BUY','2024-04-02 16:06:00'),</v>
      </c>
    </row>
    <row r="31" spans="1:13" x14ac:dyDescent="0.2">
      <c r="A31">
        <v>7531</v>
      </c>
      <c r="B31">
        <v>950</v>
      </c>
      <c r="C31" t="s">
        <v>1066</v>
      </c>
      <c r="D31" t="s">
        <v>1095</v>
      </c>
      <c r="E31" t="s">
        <v>1068</v>
      </c>
      <c r="F31" s="8" t="s">
        <v>2091</v>
      </c>
      <c r="G31" t="str">
        <f t="shared" si="2"/>
        <v>(7531,</v>
      </c>
      <c r="H31" t="str">
        <f t="shared" si="3"/>
        <v>950,</v>
      </c>
      <c r="I31" t="str">
        <f t="shared" si="4"/>
        <v>'AMZN',</v>
      </c>
      <c r="J31" t="str">
        <f t="shared" si="5"/>
        <v>975.13,</v>
      </c>
      <c r="K31" t="str">
        <f t="shared" si="6"/>
        <v>'BUY',</v>
      </c>
      <c r="L31" t="str">
        <f t="shared" si="7"/>
        <v>'2024-03-10 07:59:00'),</v>
      </c>
      <c r="M31" t="str">
        <f t="shared" si="8"/>
        <v>(7531,950,'AMZN',975.13,'BUY','2024-03-10 07:59:00'),</v>
      </c>
    </row>
    <row r="32" spans="1:13" x14ac:dyDescent="0.2">
      <c r="A32">
        <v>5258</v>
      </c>
      <c r="B32">
        <v>169</v>
      </c>
      <c r="C32" t="s">
        <v>1060</v>
      </c>
      <c r="D32" t="s">
        <v>1096</v>
      </c>
      <c r="E32" t="s">
        <v>1068</v>
      </c>
      <c r="F32" s="8" t="s">
        <v>2092</v>
      </c>
      <c r="G32" t="str">
        <f t="shared" si="2"/>
        <v>(5258,</v>
      </c>
      <c r="H32" t="str">
        <f t="shared" si="3"/>
        <v>169,</v>
      </c>
      <c r="I32" t="str">
        <f t="shared" si="4"/>
        <v>'TSLA',</v>
      </c>
      <c r="J32" t="str">
        <f t="shared" si="5"/>
        <v>166.88,</v>
      </c>
      <c r="K32" t="str">
        <f t="shared" si="6"/>
        <v>'BUY',</v>
      </c>
      <c r="L32" t="str">
        <f t="shared" si="7"/>
        <v>'2024-01-19 09:15:00'),</v>
      </c>
      <c r="M32" t="str">
        <f t="shared" si="8"/>
        <v>(5258,169,'TSLA',166.88,'BUY','2024-01-19 09:15:00'),</v>
      </c>
    </row>
    <row r="33" spans="1:13" x14ac:dyDescent="0.2">
      <c r="A33">
        <v>5297</v>
      </c>
      <c r="B33">
        <v>699</v>
      </c>
      <c r="C33" t="s">
        <v>1066</v>
      </c>
      <c r="D33" t="s">
        <v>1097</v>
      </c>
      <c r="E33" t="s">
        <v>1062</v>
      </c>
      <c r="F33" s="8" t="s">
        <v>2093</v>
      </c>
      <c r="G33" t="str">
        <f t="shared" si="2"/>
        <v>(5297,</v>
      </c>
      <c r="H33" t="str">
        <f t="shared" si="3"/>
        <v>699,</v>
      </c>
      <c r="I33" t="str">
        <f t="shared" si="4"/>
        <v>'AMZN',</v>
      </c>
      <c r="J33" t="str">
        <f t="shared" si="5"/>
        <v>450.45,</v>
      </c>
      <c r="K33" t="str">
        <f t="shared" si="6"/>
        <v>'SELL',</v>
      </c>
      <c r="L33" t="str">
        <f t="shared" si="7"/>
        <v>'2024-02-06 17:23:00'),</v>
      </c>
      <c r="M33" t="str">
        <f t="shared" si="8"/>
        <v>(5297,699,'AMZN',450.45,'SELL','2024-02-06 17:23:00'),</v>
      </c>
    </row>
    <row r="34" spans="1:13" x14ac:dyDescent="0.2">
      <c r="A34">
        <v>9952</v>
      </c>
      <c r="B34">
        <v>43</v>
      </c>
      <c r="C34" t="s">
        <v>1060</v>
      </c>
      <c r="D34" t="s">
        <v>1098</v>
      </c>
      <c r="E34" t="s">
        <v>1068</v>
      </c>
      <c r="F34" s="8" t="s">
        <v>2094</v>
      </c>
      <c r="G34" t="str">
        <f t="shared" si="2"/>
        <v>(9952,</v>
      </c>
      <c r="H34" t="str">
        <f t="shared" si="3"/>
        <v>43,</v>
      </c>
      <c r="I34" t="str">
        <f t="shared" si="4"/>
        <v>'TSLA',</v>
      </c>
      <c r="J34" t="str">
        <f t="shared" si="5"/>
        <v>203.55,</v>
      </c>
      <c r="K34" t="str">
        <f t="shared" si="6"/>
        <v>'BUY',</v>
      </c>
      <c r="L34" t="str">
        <f t="shared" si="7"/>
        <v>'2024-04-26 04:30:00'),</v>
      </c>
      <c r="M34" t="str">
        <f t="shared" si="8"/>
        <v>(9952,43,'TSLA',203.55,'BUY','2024-04-26 04:30:00'),</v>
      </c>
    </row>
    <row r="35" spans="1:13" x14ac:dyDescent="0.2">
      <c r="A35">
        <v>7922</v>
      </c>
      <c r="B35">
        <v>168</v>
      </c>
      <c r="C35" t="s">
        <v>1066</v>
      </c>
      <c r="D35" t="s">
        <v>1099</v>
      </c>
      <c r="E35" t="s">
        <v>1062</v>
      </c>
      <c r="F35" s="8" t="s">
        <v>2095</v>
      </c>
      <c r="G35" t="str">
        <f t="shared" si="2"/>
        <v>(7922,</v>
      </c>
      <c r="H35" t="str">
        <f t="shared" si="3"/>
        <v>168,</v>
      </c>
      <c r="I35" t="str">
        <f t="shared" si="4"/>
        <v>'AMZN',</v>
      </c>
      <c r="J35" t="str">
        <f t="shared" si="5"/>
        <v>809.66,</v>
      </c>
      <c r="K35" t="str">
        <f t="shared" si="6"/>
        <v>'SELL',</v>
      </c>
      <c r="L35" t="str">
        <f t="shared" si="7"/>
        <v>'2024-01-26 16:03:00'),</v>
      </c>
      <c r="M35" t="str">
        <f t="shared" si="8"/>
        <v>(7922,168,'AMZN',809.66,'SELL','2024-01-26 16:03:00'),</v>
      </c>
    </row>
    <row r="36" spans="1:13" x14ac:dyDescent="0.2">
      <c r="A36">
        <v>2941</v>
      </c>
      <c r="B36">
        <v>278</v>
      </c>
      <c r="C36" t="s">
        <v>1066</v>
      </c>
      <c r="D36" t="s">
        <v>1100</v>
      </c>
      <c r="E36" t="s">
        <v>1062</v>
      </c>
      <c r="F36" s="8" t="s">
        <v>2096</v>
      </c>
      <c r="G36" t="str">
        <f t="shared" si="2"/>
        <v>(2941,</v>
      </c>
      <c r="H36" t="str">
        <f t="shared" si="3"/>
        <v>278,</v>
      </c>
      <c r="I36" t="str">
        <f t="shared" si="4"/>
        <v>'AMZN',</v>
      </c>
      <c r="J36" t="str">
        <f t="shared" si="5"/>
        <v>514.75,</v>
      </c>
      <c r="K36" t="str">
        <f t="shared" si="6"/>
        <v>'SELL',</v>
      </c>
      <c r="L36" t="str">
        <f t="shared" si="7"/>
        <v>'2024-05-13 19:05:00'),</v>
      </c>
      <c r="M36" t="str">
        <f t="shared" si="8"/>
        <v>(2941,278,'AMZN',514.75,'SELL','2024-05-13 19:05:00'),</v>
      </c>
    </row>
    <row r="37" spans="1:13" x14ac:dyDescent="0.2">
      <c r="A37">
        <v>7922</v>
      </c>
      <c r="B37">
        <v>821</v>
      </c>
      <c r="C37" t="s">
        <v>1060</v>
      </c>
      <c r="D37" t="s">
        <v>1101</v>
      </c>
      <c r="E37" t="s">
        <v>1068</v>
      </c>
      <c r="F37" s="8" t="s">
        <v>2097</v>
      </c>
      <c r="G37" t="str">
        <f t="shared" si="2"/>
        <v>(7922,</v>
      </c>
      <c r="H37" t="str">
        <f t="shared" si="3"/>
        <v>821,</v>
      </c>
      <c r="I37" t="str">
        <f t="shared" si="4"/>
        <v>'TSLA',</v>
      </c>
      <c r="J37" t="str">
        <f t="shared" si="5"/>
        <v>104.05,</v>
      </c>
      <c r="K37" t="str">
        <f t="shared" si="6"/>
        <v>'BUY',</v>
      </c>
      <c r="L37" t="str">
        <f t="shared" si="7"/>
        <v>'2024-05-06 10:46:00'),</v>
      </c>
      <c r="M37" t="str">
        <f t="shared" si="8"/>
        <v>(7922,821,'TSLA',104.05,'BUY','2024-05-06 10:46:00'),</v>
      </c>
    </row>
    <row r="38" spans="1:13" x14ac:dyDescent="0.2">
      <c r="A38">
        <v>9952</v>
      </c>
      <c r="B38">
        <v>504</v>
      </c>
      <c r="C38" t="s">
        <v>1066</v>
      </c>
      <c r="D38" t="s">
        <v>1102</v>
      </c>
      <c r="E38" t="s">
        <v>1068</v>
      </c>
      <c r="F38" s="8" t="s">
        <v>2098</v>
      </c>
      <c r="G38" t="str">
        <f t="shared" si="2"/>
        <v>(9952,</v>
      </c>
      <c r="H38" t="str">
        <f t="shared" si="3"/>
        <v>504,</v>
      </c>
      <c r="I38" t="str">
        <f t="shared" si="4"/>
        <v>'AMZN',</v>
      </c>
      <c r="J38" t="str">
        <f t="shared" si="5"/>
        <v>808.15,</v>
      </c>
      <c r="K38" t="str">
        <f t="shared" si="6"/>
        <v>'BUY',</v>
      </c>
      <c r="L38" t="str">
        <f t="shared" si="7"/>
        <v>'2024-03-23 19:01:00'),</v>
      </c>
      <c r="M38" t="str">
        <f t="shared" si="8"/>
        <v>(9952,504,'AMZN',808.15,'BUY','2024-03-23 19:01:00'),</v>
      </c>
    </row>
    <row r="39" spans="1:13" x14ac:dyDescent="0.2">
      <c r="A39">
        <v>5751</v>
      </c>
      <c r="B39">
        <v>483</v>
      </c>
      <c r="C39" t="s">
        <v>1063</v>
      </c>
      <c r="D39" t="s">
        <v>1103</v>
      </c>
      <c r="E39" t="s">
        <v>1062</v>
      </c>
      <c r="F39" s="8" t="s">
        <v>2099</v>
      </c>
      <c r="G39" t="str">
        <f t="shared" si="2"/>
        <v>(5751,</v>
      </c>
      <c r="H39" t="str">
        <f t="shared" si="3"/>
        <v>483,</v>
      </c>
      <c r="I39" t="str">
        <f t="shared" si="4"/>
        <v>'META',</v>
      </c>
      <c r="J39" t="str">
        <f t="shared" si="5"/>
        <v>962.77,</v>
      </c>
      <c r="K39" t="str">
        <f t="shared" si="6"/>
        <v>'SELL',</v>
      </c>
      <c r="L39" t="str">
        <f t="shared" si="7"/>
        <v>'2024-01-12 16:26:00'),</v>
      </c>
      <c r="M39" t="str">
        <f t="shared" si="8"/>
        <v>(5751,483,'META',962.77,'SELL','2024-01-12 16:26:00'),</v>
      </c>
    </row>
    <row r="40" spans="1:13" x14ac:dyDescent="0.2">
      <c r="A40">
        <v>4168</v>
      </c>
      <c r="B40">
        <v>689</v>
      </c>
      <c r="C40" t="s">
        <v>1069</v>
      </c>
      <c r="D40" t="s">
        <v>1104</v>
      </c>
      <c r="E40" t="s">
        <v>1068</v>
      </c>
      <c r="F40" s="8" t="s">
        <v>2100</v>
      </c>
      <c r="G40" t="str">
        <f t="shared" si="2"/>
        <v>(4168,</v>
      </c>
      <c r="H40" t="str">
        <f t="shared" si="3"/>
        <v>689,</v>
      </c>
      <c r="I40" t="str">
        <f t="shared" si="4"/>
        <v>'MSFT',</v>
      </c>
      <c r="J40" t="str">
        <f t="shared" si="5"/>
        <v>782.52,</v>
      </c>
      <c r="K40" t="str">
        <f t="shared" si="6"/>
        <v>'BUY',</v>
      </c>
      <c r="L40" t="str">
        <f t="shared" si="7"/>
        <v>'2024-02-28 20:54:00'),</v>
      </c>
      <c r="M40" t="str">
        <f t="shared" si="8"/>
        <v>(4168,689,'MSFT',782.52,'BUY','2024-02-28 20:54:00'),</v>
      </c>
    </row>
    <row r="41" spans="1:13" x14ac:dyDescent="0.2">
      <c r="A41">
        <v>5705</v>
      </c>
      <c r="B41">
        <v>770</v>
      </c>
      <c r="C41" t="s">
        <v>1066</v>
      </c>
      <c r="D41" t="s">
        <v>1105</v>
      </c>
      <c r="E41" t="s">
        <v>1068</v>
      </c>
      <c r="F41" s="8" t="s">
        <v>2101</v>
      </c>
      <c r="G41" t="str">
        <f t="shared" si="2"/>
        <v>(5705,</v>
      </c>
      <c r="H41" t="str">
        <f t="shared" si="3"/>
        <v>770,</v>
      </c>
      <c r="I41" t="str">
        <f t="shared" si="4"/>
        <v>'AMZN',</v>
      </c>
      <c r="J41" t="str">
        <f t="shared" si="5"/>
        <v>520.88,</v>
      </c>
      <c r="K41" t="str">
        <f t="shared" si="6"/>
        <v>'BUY',</v>
      </c>
      <c r="L41" t="str">
        <f t="shared" si="7"/>
        <v>'2024-03-29 08:04:00'),</v>
      </c>
      <c r="M41" t="str">
        <f t="shared" si="8"/>
        <v>(5705,770,'AMZN',520.88,'BUY','2024-03-29 08:04:00'),</v>
      </c>
    </row>
    <row r="42" spans="1:13" x14ac:dyDescent="0.2">
      <c r="A42">
        <v>5751</v>
      </c>
      <c r="B42">
        <v>415</v>
      </c>
      <c r="C42" t="s">
        <v>1060</v>
      </c>
      <c r="D42" t="s">
        <v>1106</v>
      </c>
      <c r="E42" t="s">
        <v>1068</v>
      </c>
      <c r="F42" s="8" t="s">
        <v>2102</v>
      </c>
      <c r="G42" t="str">
        <f t="shared" si="2"/>
        <v>(5751,</v>
      </c>
      <c r="H42" t="str">
        <f t="shared" si="3"/>
        <v>415,</v>
      </c>
      <c r="I42" t="str">
        <f t="shared" si="4"/>
        <v>'TSLA',</v>
      </c>
      <c r="J42" t="str">
        <f t="shared" si="5"/>
        <v>395.0,</v>
      </c>
      <c r="K42" t="str">
        <f t="shared" si="6"/>
        <v>'BUY',</v>
      </c>
      <c r="L42" t="str">
        <f t="shared" si="7"/>
        <v>'2024-01-04 07:41:00'),</v>
      </c>
      <c r="M42" t="str">
        <f t="shared" si="8"/>
        <v>(5751,415,'TSLA',395.0,'BUY','2024-01-04 07:41:00'),</v>
      </c>
    </row>
    <row r="43" spans="1:13" x14ac:dyDescent="0.2">
      <c r="A43">
        <v>7938</v>
      </c>
      <c r="B43">
        <v>945</v>
      </c>
      <c r="C43" t="s">
        <v>1060</v>
      </c>
      <c r="D43" t="s">
        <v>1107</v>
      </c>
      <c r="E43" t="s">
        <v>1062</v>
      </c>
      <c r="F43" s="8" t="s">
        <v>2103</v>
      </c>
      <c r="G43" t="str">
        <f t="shared" si="2"/>
        <v>(7938,</v>
      </c>
      <c r="H43" t="str">
        <f t="shared" si="3"/>
        <v>945,</v>
      </c>
      <c r="I43" t="str">
        <f t="shared" si="4"/>
        <v>'TSLA',</v>
      </c>
      <c r="J43" t="str">
        <f t="shared" si="5"/>
        <v>851.97,</v>
      </c>
      <c r="K43" t="str">
        <f t="shared" si="6"/>
        <v>'SELL',</v>
      </c>
      <c r="L43" t="str">
        <f t="shared" si="7"/>
        <v>'2024-02-22 21:24:00'),</v>
      </c>
      <c r="M43" t="str">
        <f t="shared" si="8"/>
        <v>(7938,945,'TSLA',851.97,'SELL','2024-02-22 21:24:00'),</v>
      </c>
    </row>
    <row r="44" spans="1:13" x14ac:dyDescent="0.2">
      <c r="A44">
        <v>5751</v>
      </c>
      <c r="B44">
        <v>449</v>
      </c>
      <c r="C44" t="s">
        <v>1066</v>
      </c>
      <c r="D44" t="s">
        <v>1108</v>
      </c>
      <c r="E44" t="s">
        <v>1062</v>
      </c>
      <c r="F44" s="8" t="s">
        <v>2104</v>
      </c>
      <c r="G44" t="str">
        <f t="shared" si="2"/>
        <v>(5751,</v>
      </c>
      <c r="H44" t="str">
        <f t="shared" si="3"/>
        <v>449,</v>
      </c>
      <c r="I44" t="str">
        <f t="shared" si="4"/>
        <v>'AMZN',</v>
      </c>
      <c r="J44" t="str">
        <f t="shared" si="5"/>
        <v>775.08,</v>
      </c>
      <c r="K44" t="str">
        <f t="shared" si="6"/>
        <v>'SELL',</v>
      </c>
      <c r="L44" t="str">
        <f t="shared" si="7"/>
        <v>'2024-01-27 20:47:00'),</v>
      </c>
      <c r="M44" t="str">
        <f t="shared" si="8"/>
        <v>(5751,449,'AMZN',775.08,'SELL','2024-01-27 20:47:00'),</v>
      </c>
    </row>
    <row r="45" spans="1:13" x14ac:dyDescent="0.2">
      <c r="A45">
        <v>7922</v>
      </c>
      <c r="B45">
        <v>66</v>
      </c>
      <c r="C45" t="s">
        <v>1060</v>
      </c>
      <c r="D45" t="s">
        <v>1109</v>
      </c>
      <c r="E45" t="s">
        <v>1068</v>
      </c>
      <c r="F45" s="8" t="s">
        <v>2105</v>
      </c>
      <c r="G45" t="str">
        <f t="shared" si="2"/>
        <v>(7922,</v>
      </c>
      <c r="H45" t="str">
        <f t="shared" si="3"/>
        <v>66,</v>
      </c>
      <c r="I45" t="str">
        <f t="shared" si="4"/>
        <v>'TSLA',</v>
      </c>
      <c r="J45" t="str">
        <f t="shared" si="5"/>
        <v>750.49,</v>
      </c>
      <c r="K45" t="str">
        <f t="shared" si="6"/>
        <v>'BUY',</v>
      </c>
      <c r="L45" t="str">
        <f t="shared" si="7"/>
        <v>'2024-04-13 12:49:00'),</v>
      </c>
      <c r="M45" t="str">
        <f t="shared" si="8"/>
        <v>(7922,66,'TSLA',750.49,'BUY','2024-04-13 12:49:00'),</v>
      </c>
    </row>
    <row r="46" spans="1:13" x14ac:dyDescent="0.2">
      <c r="A46">
        <v>5751</v>
      </c>
      <c r="B46">
        <v>117</v>
      </c>
      <c r="C46" t="s">
        <v>1069</v>
      </c>
      <c r="D46" t="s">
        <v>1110</v>
      </c>
      <c r="E46" t="s">
        <v>1068</v>
      </c>
      <c r="F46" s="8" t="s">
        <v>2106</v>
      </c>
      <c r="G46" t="str">
        <f t="shared" si="2"/>
        <v>(5751,</v>
      </c>
      <c r="H46" t="str">
        <f t="shared" si="3"/>
        <v>117,</v>
      </c>
      <c r="I46" t="str">
        <f t="shared" si="4"/>
        <v>'MSFT',</v>
      </c>
      <c r="J46" t="str">
        <f t="shared" si="5"/>
        <v>681.87,</v>
      </c>
      <c r="K46" t="str">
        <f t="shared" si="6"/>
        <v>'BUY',</v>
      </c>
      <c r="L46" t="str">
        <f t="shared" si="7"/>
        <v>'2024-02-29 11:49:00'),</v>
      </c>
      <c r="M46" t="str">
        <f t="shared" si="8"/>
        <v>(5751,117,'MSFT',681.87,'BUY','2024-02-29 11:49:00'),</v>
      </c>
    </row>
    <row r="47" spans="1:13" x14ac:dyDescent="0.2">
      <c r="A47">
        <v>5751</v>
      </c>
      <c r="B47">
        <v>275</v>
      </c>
      <c r="C47" t="s">
        <v>1066</v>
      </c>
      <c r="D47" t="s">
        <v>1111</v>
      </c>
      <c r="E47" t="s">
        <v>1062</v>
      </c>
      <c r="F47" s="8" t="s">
        <v>2107</v>
      </c>
      <c r="G47" t="str">
        <f t="shared" si="2"/>
        <v>(5751,</v>
      </c>
      <c r="H47" t="str">
        <f t="shared" si="3"/>
        <v>275,</v>
      </c>
      <c r="I47" t="str">
        <f t="shared" si="4"/>
        <v>'AMZN',</v>
      </c>
      <c r="J47" t="str">
        <f t="shared" si="5"/>
        <v>376.4,</v>
      </c>
      <c r="K47" t="str">
        <f t="shared" si="6"/>
        <v>'SELL',</v>
      </c>
      <c r="L47" t="str">
        <f t="shared" si="7"/>
        <v>'2024-01-08 02:06:00'),</v>
      </c>
      <c r="M47" t="str">
        <f t="shared" si="8"/>
        <v>(5751,275,'AMZN',376.4,'SELL','2024-01-08 02:06:00'),</v>
      </c>
    </row>
    <row r="48" spans="1:13" x14ac:dyDescent="0.2">
      <c r="A48">
        <v>5705</v>
      </c>
      <c r="B48">
        <v>993</v>
      </c>
      <c r="C48" t="s">
        <v>1069</v>
      </c>
      <c r="D48" t="s">
        <v>1112</v>
      </c>
      <c r="E48" t="s">
        <v>1068</v>
      </c>
      <c r="F48" s="8" t="s">
        <v>2108</v>
      </c>
      <c r="G48" t="str">
        <f t="shared" si="2"/>
        <v>(5705,</v>
      </c>
      <c r="H48" t="str">
        <f t="shared" si="3"/>
        <v>993,</v>
      </c>
      <c r="I48" t="str">
        <f t="shared" si="4"/>
        <v>'MSFT',</v>
      </c>
      <c r="J48" t="str">
        <f t="shared" si="5"/>
        <v>365.78,</v>
      </c>
      <c r="K48" t="str">
        <f t="shared" si="6"/>
        <v>'BUY',</v>
      </c>
      <c r="L48" t="str">
        <f t="shared" si="7"/>
        <v>'2024-03-21 00:55:00'),</v>
      </c>
      <c r="M48" t="str">
        <f t="shared" si="8"/>
        <v>(5705,993,'MSFT',365.78,'BUY','2024-03-21 00:55:00'),</v>
      </c>
    </row>
    <row r="49" spans="1:13" x14ac:dyDescent="0.2">
      <c r="A49">
        <v>7531</v>
      </c>
      <c r="B49">
        <v>909</v>
      </c>
      <c r="C49" t="s">
        <v>1066</v>
      </c>
      <c r="D49" t="s">
        <v>1113</v>
      </c>
      <c r="E49" t="s">
        <v>1062</v>
      </c>
      <c r="F49" s="8" t="s">
        <v>2109</v>
      </c>
      <c r="G49" t="str">
        <f t="shared" si="2"/>
        <v>(7531,</v>
      </c>
      <c r="H49" t="str">
        <f t="shared" si="3"/>
        <v>909,</v>
      </c>
      <c r="I49" t="str">
        <f t="shared" si="4"/>
        <v>'AMZN',</v>
      </c>
      <c r="J49" t="str">
        <f t="shared" si="5"/>
        <v>118.13,</v>
      </c>
      <c r="K49" t="str">
        <f t="shared" si="6"/>
        <v>'SELL',</v>
      </c>
      <c r="L49" t="str">
        <f t="shared" si="7"/>
        <v>'2024-05-22 08:43:00'),</v>
      </c>
      <c r="M49" t="str">
        <f t="shared" si="8"/>
        <v>(7531,909,'AMZN',118.13,'SELL','2024-05-22 08:43:00'),</v>
      </c>
    </row>
    <row r="50" spans="1:13" x14ac:dyDescent="0.2">
      <c r="A50">
        <v>9952</v>
      </c>
      <c r="B50">
        <v>337</v>
      </c>
      <c r="C50" t="s">
        <v>1063</v>
      </c>
      <c r="D50" t="s">
        <v>1114</v>
      </c>
      <c r="E50" t="s">
        <v>1068</v>
      </c>
      <c r="F50" s="8" t="s">
        <v>2110</v>
      </c>
      <c r="G50" t="str">
        <f t="shared" si="2"/>
        <v>(9952,</v>
      </c>
      <c r="H50" t="str">
        <f t="shared" si="3"/>
        <v>337,</v>
      </c>
      <c r="I50" t="str">
        <f t="shared" si="4"/>
        <v>'META',</v>
      </c>
      <c r="J50" t="str">
        <f t="shared" si="5"/>
        <v>572.53,</v>
      </c>
      <c r="K50" t="str">
        <f t="shared" si="6"/>
        <v>'BUY',</v>
      </c>
      <c r="L50" t="str">
        <f t="shared" si="7"/>
        <v>'2024-01-08 06:49:00'),</v>
      </c>
      <c r="M50" t="str">
        <f t="shared" si="8"/>
        <v>(9952,337,'META',572.53,'BUY','2024-01-08 06:49:00'),</v>
      </c>
    </row>
    <row r="51" spans="1:13" x14ac:dyDescent="0.2">
      <c r="A51">
        <v>7531</v>
      </c>
      <c r="B51">
        <v>23</v>
      </c>
      <c r="C51" t="s">
        <v>1069</v>
      </c>
      <c r="D51" t="s">
        <v>1115</v>
      </c>
      <c r="E51" t="s">
        <v>1068</v>
      </c>
      <c r="F51" s="8" t="s">
        <v>2111</v>
      </c>
      <c r="G51" t="str">
        <f t="shared" si="2"/>
        <v>(7531,</v>
      </c>
      <c r="H51" t="str">
        <f t="shared" si="3"/>
        <v>23,</v>
      </c>
      <c r="I51" t="str">
        <f t="shared" si="4"/>
        <v>'MSFT',</v>
      </c>
      <c r="J51" t="str">
        <f t="shared" si="5"/>
        <v>642.09,</v>
      </c>
      <c r="K51" t="str">
        <f t="shared" si="6"/>
        <v>'BUY',</v>
      </c>
      <c r="L51" t="str">
        <f t="shared" si="7"/>
        <v>'2024-03-03 07:49:00'),</v>
      </c>
      <c r="M51" t="str">
        <f t="shared" si="8"/>
        <v>(7531,23,'MSFT',642.09,'BUY','2024-03-03 07:49:00'),</v>
      </c>
    </row>
    <row r="52" spans="1:13" x14ac:dyDescent="0.2">
      <c r="A52">
        <v>7531</v>
      </c>
      <c r="B52">
        <v>811</v>
      </c>
      <c r="C52" t="s">
        <v>1063</v>
      </c>
      <c r="D52" t="s">
        <v>1116</v>
      </c>
      <c r="E52" t="s">
        <v>1062</v>
      </c>
      <c r="F52" s="8" t="s">
        <v>2112</v>
      </c>
      <c r="G52" t="str">
        <f t="shared" si="2"/>
        <v>(7531,</v>
      </c>
      <c r="H52" t="str">
        <f t="shared" si="3"/>
        <v>811,</v>
      </c>
      <c r="I52" t="str">
        <f t="shared" si="4"/>
        <v>'META',</v>
      </c>
      <c r="J52" t="str">
        <f t="shared" si="5"/>
        <v>360.31,</v>
      </c>
      <c r="K52" t="str">
        <f t="shared" si="6"/>
        <v>'SELL',</v>
      </c>
      <c r="L52" t="str">
        <f t="shared" si="7"/>
        <v>'2024-02-17 02:41:00'),</v>
      </c>
      <c r="M52" t="str">
        <f t="shared" si="8"/>
        <v>(7531,811,'META',360.31,'SELL','2024-02-17 02:41:00'),</v>
      </c>
    </row>
    <row r="53" spans="1:13" x14ac:dyDescent="0.2">
      <c r="A53">
        <v>4669</v>
      </c>
      <c r="B53">
        <v>483</v>
      </c>
      <c r="C53" t="s">
        <v>1063</v>
      </c>
      <c r="D53" t="s">
        <v>1117</v>
      </c>
      <c r="E53" t="s">
        <v>1062</v>
      </c>
      <c r="F53" s="8" t="s">
        <v>2113</v>
      </c>
      <c r="G53" t="str">
        <f t="shared" si="2"/>
        <v>(4669,</v>
      </c>
      <c r="H53" t="str">
        <f t="shared" si="3"/>
        <v>483,</v>
      </c>
      <c r="I53" t="str">
        <f t="shared" si="4"/>
        <v>'META',</v>
      </c>
      <c r="J53" t="str">
        <f t="shared" si="5"/>
        <v>200.37,</v>
      </c>
      <c r="K53" t="str">
        <f t="shared" si="6"/>
        <v>'SELL',</v>
      </c>
      <c r="L53" t="str">
        <f t="shared" si="7"/>
        <v>'2024-02-21 03:09:00'),</v>
      </c>
      <c r="M53" t="str">
        <f t="shared" si="8"/>
        <v>(4669,483,'META',200.37,'SELL','2024-02-21 03:09:00'),</v>
      </c>
    </row>
    <row r="54" spans="1:13" x14ac:dyDescent="0.2">
      <c r="A54">
        <v>4168</v>
      </c>
      <c r="B54">
        <v>881</v>
      </c>
      <c r="C54" t="s">
        <v>1069</v>
      </c>
      <c r="D54" t="s">
        <v>1118</v>
      </c>
      <c r="E54" t="s">
        <v>1068</v>
      </c>
      <c r="F54" s="8" t="s">
        <v>2114</v>
      </c>
      <c r="G54" t="str">
        <f t="shared" si="2"/>
        <v>(4168,</v>
      </c>
      <c r="H54" t="str">
        <f t="shared" si="3"/>
        <v>881,</v>
      </c>
      <c r="I54" t="str">
        <f t="shared" si="4"/>
        <v>'MSFT',</v>
      </c>
      <c r="J54" t="str">
        <f t="shared" si="5"/>
        <v>811.67,</v>
      </c>
      <c r="K54" t="str">
        <f t="shared" si="6"/>
        <v>'BUY',</v>
      </c>
      <c r="L54" t="str">
        <f t="shared" si="7"/>
        <v>'2024-04-17 05:52:00'),</v>
      </c>
      <c r="M54" t="str">
        <f t="shared" si="8"/>
        <v>(4168,881,'MSFT',811.67,'BUY','2024-04-17 05:52:00'),</v>
      </c>
    </row>
    <row r="55" spans="1:13" x14ac:dyDescent="0.2">
      <c r="A55">
        <v>1691</v>
      </c>
      <c r="B55">
        <v>850</v>
      </c>
      <c r="C55" t="s">
        <v>1066</v>
      </c>
      <c r="D55" t="s">
        <v>1119</v>
      </c>
      <c r="E55" t="s">
        <v>1068</v>
      </c>
      <c r="F55" s="8" t="s">
        <v>2115</v>
      </c>
      <c r="G55" t="str">
        <f t="shared" si="2"/>
        <v>(1691,</v>
      </c>
      <c r="H55" t="str">
        <f t="shared" si="3"/>
        <v>850,</v>
      </c>
      <c r="I55" t="str">
        <f t="shared" si="4"/>
        <v>'AMZN',</v>
      </c>
      <c r="J55" t="str">
        <f t="shared" si="5"/>
        <v>276.17,</v>
      </c>
      <c r="K55" t="str">
        <f t="shared" si="6"/>
        <v>'BUY',</v>
      </c>
      <c r="L55" t="str">
        <f t="shared" si="7"/>
        <v>'2024-01-14 09:54:00'),</v>
      </c>
      <c r="M55" t="str">
        <f t="shared" si="8"/>
        <v>(1691,850,'AMZN',276.17,'BUY','2024-01-14 09:54:00'),</v>
      </c>
    </row>
    <row r="56" spans="1:13" x14ac:dyDescent="0.2">
      <c r="A56">
        <v>7938</v>
      </c>
      <c r="B56">
        <v>769</v>
      </c>
      <c r="C56" t="s">
        <v>1060</v>
      </c>
      <c r="D56" t="s">
        <v>1120</v>
      </c>
      <c r="E56" t="s">
        <v>1068</v>
      </c>
      <c r="F56" s="8" t="s">
        <v>2116</v>
      </c>
      <c r="G56" t="str">
        <f t="shared" si="2"/>
        <v>(7938,</v>
      </c>
      <c r="H56" t="str">
        <f t="shared" si="3"/>
        <v>769,</v>
      </c>
      <c r="I56" t="str">
        <f t="shared" si="4"/>
        <v>'TSLA',</v>
      </c>
      <c r="J56" t="str">
        <f t="shared" si="5"/>
        <v>411.82,</v>
      </c>
      <c r="K56" t="str">
        <f t="shared" si="6"/>
        <v>'BUY',</v>
      </c>
      <c r="L56" t="str">
        <f t="shared" si="7"/>
        <v>'2024-05-13 07:00:00'),</v>
      </c>
      <c r="M56" t="str">
        <f t="shared" si="8"/>
        <v>(7938,769,'TSLA',411.82,'BUY','2024-05-13 07:00:00'),</v>
      </c>
    </row>
    <row r="57" spans="1:13" x14ac:dyDescent="0.2">
      <c r="A57">
        <v>7938</v>
      </c>
      <c r="B57">
        <v>700</v>
      </c>
      <c r="C57" t="s">
        <v>1060</v>
      </c>
      <c r="D57" t="s">
        <v>1121</v>
      </c>
      <c r="E57" t="s">
        <v>1062</v>
      </c>
      <c r="F57" s="8" t="s">
        <v>2117</v>
      </c>
      <c r="G57" t="str">
        <f t="shared" si="2"/>
        <v>(7938,</v>
      </c>
      <c r="H57" t="str">
        <f t="shared" si="3"/>
        <v>700,</v>
      </c>
      <c r="I57" t="str">
        <f t="shared" si="4"/>
        <v>'TSLA',</v>
      </c>
      <c r="J57" t="str">
        <f t="shared" si="5"/>
        <v>632.45,</v>
      </c>
      <c r="K57" t="str">
        <f t="shared" si="6"/>
        <v>'SELL',</v>
      </c>
      <c r="L57" t="str">
        <f t="shared" si="7"/>
        <v>'2024-02-25 03:41:00'),</v>
      </c>
      <c r="M57" t="str">
        <f t="shared" si="8"/>
        <v>(7938,700,'TSLA',632.45,'SELL','2024-02-25 03:41:00'),</v>
      </c>
    </row>
    <row r="58" spans="1:13" x14ac:dyDescent="0.2">
      <c r="A58">
        <v>5258</v>
      </c>
      <c r="B58">
        <v>134</v>
      </c>
      <c r="C58" t="s">
        <v>1060</v>
      </c>
      <c r="D58" t="s">
        <v>1122</v>
      </c>
      <c r="E58" t="s">
        <v>1068</v>
      </c>
      <c r="F58" s="8" t="s">
        <v>2118</v>
      </c>
      <c r="G58" t="str">
        <f t="shared" si="2"/>
        <v>(5258,</v>
      </c>
      <c r="H58" t="str">
        <f t="shared" si="3"/>
        <v>134,</v>
      </c>
      <c r="I58" t="str">
        <f t="shared" si="4"/>
        <v>'TSLA',</v>
      </c>
      <c r="J58" t="str">
        <f t="shared" si="5"/>
        <v>977.89,</v>
      </c>
      <c r="K58" t="str">
        <f t="shared" si="6"/>
        <v>'BUY',</v>
      </c>
      <c r="L58" t="str">
        <f t="shared" si="7"/>
        <v>'2024-05-30 18:23:00'),</v>
      </c>
      <c r="M58" t="str">
        <f t="shared" si="8"/>
        <v>(5258,134,'TSLA',977.89,'BUY','2024-05-30 18:23:00'),</v>
      </c>
    </row>
    <row r="59" spans="1:13" x14ac:dyDescent="0.2">
      <c r="A59">
        <v>4168</v>
      </c>
      <c r="B59">
        <v>245</v>
      </c>
      <c r="C59" t="s">
        <v>1063</v>
      </c>
      <c r="D59" t="s">
        <v>1123</v>
      </c>
      <c r="E59" t="s">
        <v>1068</v>
      </c>
      <c r="F59" s="8" t="s">
        <v>2119</v>
      </c>
      <c r="G59" t="str">
        <f t="shared" si="2"/>
        <v>(4168,</v>
      </c>
      <c r="H59" t="str">
        <f t="shared" si="3"/>
        <v>245,</v>
      </c>
      <c r="I59" t="str">
        <f t="shared" si="4"/>
        <v>'META',</v>
      </c>
      <c r="J59" t="str">
        <f t="shared" si="5"/>
        <v>393.14,</v>
      </c>
      <c r="K59" t="str">
        <f t="shared" si="6"/>
        <v>'BUY',</v>
      </c>
      <c r="L59" t="str">
        <f t="shared" si="7"/>
        <v>'2024-05-08 07:29:00'),</v>
      </c>
      <c r="M59" t="str">
        <f t="shared" si="8"/>
        <v>(4168,245,'META',393.14,'BUY','2024-05-08 07:29:00'),</v>
      </c>
    </row>
    <row r="60" spans="1:13" x14ac:dyDescent="0.2">
      <c r="A60">
        <v>4168</v>
      </c>
      <c r="B60">
        <v>223</v>
      </c>
      <c r="C60" t="s">
        <v>1069</v>
      </c>
      <c r="D60" t="s">
        <v>1124</v>
      </c>
      <c r="E60" t="s">
        <v>1068</v>
      </c>
      <c r="F60" s="8" t="s">
        <v>2120</v>
      </c>
      <c r="G60" t="str">
        <f t="shared" si="2"/>
        <v>(4168,</v>
      </c>
      <c r="H60" t="str">
        <f t="shared" si="3"/>
        <v>223,</v>
      </c>
      <c r="I60" t="str">
        <f t="shared" si="4"/>
        <v>'MSFT',</v>
      </c>
      <c r="J60" t="str">
        <f t="shared" si="5"/>
        <v>353.19,</v>
      </c>
      <c r="K60" t="str">
        <f t="shared" si="6"/>
        <v>'BUY',</v>
      </c>
      <c r="L60" t="str">
        <f t="shared" si="7"/>
        <v>'2024-01-27 15:04:00'),</v>
      </c>
      <c r="M60" t="str">
        <f t="shared" si="8"/>
        <v>(4168,223,'MSFT',353.19,'BUY','2024-01-27 15:04:00'),</v>
      </c>
    </row>
    <row r="61" spans="1:13" x14ac:dyDescent="0.2">
      <c r="A61">
        <v>5258</v>
      </c>
      <c r="B61">
        <v>700</v>
      </c>
      <c r="C61" t="s">
        <v>1069</v>
      </c>
      <c r="D61" t="s">
        <v>1125</v>
      </c>
      <c r="E61" t="s">
        <v>1068</v>
      </c>
      <c r="F61" s="8" t="s">
        <v>2121</v>
      </c>
      <c r="G61" t="str">
        <f t="shared" si="2"/>
        <v>(5258,</v>
      </c>
      <c r="H61" t="str">
        <f t="shared" si="3"/>
        <v>700,</v>
      </c>
      <c r="I61" t="str">
        <f t="shared" si="4"/>
        <v>'MSFT',</v>
      </c>
      <c r="J61" t="str">
        <f t="shared" si="5"/>
        <v>471.25,</v>
      </c>
      <c r="K61" t="str">
        <f t="shared" si="6"/>
        <v>'BUY',</v>
      </c>
      <c r="L61" t="str">
        <f t="shared" si="7"/>
        <v>'2024-03-30 18:46:00'),</v>
      </c>
      <c r="M61" t="str">
        <f t="shared" si="8"/>
        <v>(5258,700,'MSFT',471.25,'BUY','2024-03-30 18:46:00'),</v>
      </c>
    </row>
    <row r="62" spans="1:13" x14ac:dyDescent="0.2">
      <c r="A62">
        <v>2941</v>
      </c>
      <c r="B62">
        <v>267</v>
      </c>
      <c r="C62" t="s">
        <v>1069</v>
      </c>
      <c r="D62" t="s">
        <v>1126</v>
      </c>
      <c r="E62" t="s">
        <v>1062</v>
      </c>
      <c r="F62" s="8" t="s">
        <v>2122</v>
      </c>
      <c r="G62" t="str">
        <f t="shared" si="2"/>
        <v>(2941,</v>
      </c>
      <c r="H62" t="str">
        <f t="shared" si="3"/>
        <v>267,</v>
      </c>
      <c r="I62" t="str">
        <f t="shared" si="4"/>
        <v>'MSFT',</v>
      </c>
      <c r="J62" t="str">
        <f t="shared" si="5"/>
        <v>639.44,</v>
      </c>
      <c r="K62" t="str">
        <f t="shared" si="6"/>
        <v>'SELL',</v>
      </c>
      <c r="L62" t="str">
        <f t="shared" si="7"/>
        <v>'2024-04-13 00:10:00'),</v>
      </c>
      <c r="M62" t="str">
        <f t="shared" si="8"/>
        <v>(2941,267,'MSFT',639.44,'SELL','2024-04-13 00:10:00'),</v>
      </c>
    </row>
    <row r="63" spans="1:13" x14ac:dyDescent="0.2">
      <c r="A63">
        <v>4168</v>
      </c>
      <c r="B63">
        <v>725</v>
      </c>
      <c r="C63" t="s">
        <v>1060</v>
      </c>
      <c r="D63" t="s">
        <v>1127</v>
      </c>
      <c r="E63" t="s">
        <v>1068</v>
      </c>
      <c r="F63" s="8" t="s">
        <v>2123</v>
      </c>
      <c r="G63" t="str">
        <f t="shared" si="2"/>
        <v>(4168,</v>
      </c>
      <c r="H63" t="str">
        <f t="shared" si="3"/>
        <v>725,</v>
      </c>
      <c r="I63" t="str">
        <f t="shared" si="4"/>
        <v>'TSLA',</v>
      </c>
      <c r="J63" t="str">
        <f t="shared" si="5"/>
        <v>785.92,</v>
      </c>
      <c r="K63" t="str">
        <f t="shared" si="6"/>
        <v>'BUY',</v>
      </c>
      <c r="L63" t="str">
        <f t="shared" si="7"/>
        <v>'2024-05-13 08:03:00'),</v>
      </c>
      <c r="M63" t="str">
        <f t="shared" si="8"/>
        <v>(4168,725,'TSLA',785.92,'BUY','2024-05-13 08:03:00'),</v>
      </c>
    </row>
    <row r="64" spans="1:13" x14ac:dyDescent="0.2">
      <c r="A64">
        <v>7922</v>
      </c>
      <c r="B64">
        <v>522</v>
      </c>
      <c r="C64" t="s">
        <v>1063</v>
      </c>
      <c r="D64" t="s">
        <v>1128</v>
      </c>
      <c r="E64" t="s">
        <v>1068</v>
      </c>
      <c r="F64" s="8" t="s">
        <v>2124</v>
      </c>
      <c r="G64" t="str">
        <f t="shared" si="2"/>
        <v>(7922,</v>
      </c>
      <c r="H64" t="str">
        <f t="shared" si="3"/>
        <v>522,</v>
      </c>
      <c r="I64" t="str">
        <f t="shared" si="4"/>
        <v>'META',</v>
      </c>
      <c r="J64" t="str">
        <f t="shared" si="5"/>
        <v>666.09,</v>
      </c>
      <c r="K64" t="str">
        <f t="shared" si="6"/>
        <v>'BUY',</v>
      </c>
      <c r="L64" t="str">
        <f t="shared" si="7"/>
        <v>'2024-03-02 02:49:00'),</v>
      </c>
      <c r="M64" t="str">
        <f t="shared" si="8"/>
        <v>(7922,522,'META',666.09,'BUY','2024-03-02 02:49:00'),</v>
      </c>
    </row>
    <row r="65" spans="1:13" x14ac:dyDescent="0.2">
      <c r="A65">
        <v>4710</v>
      </c>
      <c r="B65">
        <v>813</v>
      </c>
      <c r="C65" t="s">
        <v>1069</v>
      </c>
      <c r="D65" t="s">
        <v>1129</v>
      </c>
      <c r="E65" t="s">
        <v>1062</v>
      </c>
      <c r="F65" s="8" t="s">
        <v>2125</v>
      </c>
      <c r="G65" t="str">
        <f t="shared" si="2"/>
        <v>(4710,</v>
      </c>
      <c r="H65" t="str">
        <f t="shared" si="3"/>
        <v>813,</v>
      </c>
      <c r="I65" t="str">
        <f t="shared" si="4"/>
        <v>'MSFT',</v>
      </c>
      <c r="J65" t="str">
        <f t="shared" si="5"/>
        <v>380.02,</v>
      </c>
      <c r="K65" t="str">
        <f t="shared" si="6"/>
        <v>'SELL',</v>
      </c>
      <c r="L65" t="str">
        <f t="shared" si="7"/>
        <v>'2024-01-04 15:18:00'),</v>
      </c>
      <c r="M65" t="str">
        <f t="shared" si="8"/>
        <v>(4710,813,'MSFT',380.02,'SELL','2024-01-04 15:18:00'),</v>
      </c>
    </row>
    <row r="66" spans="1:13" x14ac:dyDescent="0.2">
      <c r="A66">
        <v>7531</v>
      </c>
      <c r="B66">
        <v>459</v>
      </c>
      <c r="C66" t="s">
        <v>1066</v>
      </c>
      <c r="D66" t="s">
        <v>1130</v>
      </c>
      <c r="E66" t="s">
        <v>1068</v>
      </c>
      <c r="F66" s="8" t="s">
        <v>2126</v>
      </c>
      <c r="G66" t="str">
        <f t="shared" si="2"/>
        <v>(7531,</v>
      </c>
      <c r="H66" t="str">
        <f t="shared" si="3"/>
        <v>459,</v>
      </c>
      <c r="I66" t="str">
        <f t="shared" si="4"/>
        <v>'AMZN',</v>
      </c>
      <c r="J66" t="str">
        <f t="shared" si="5"/>
        <v>386.75,</v>
      </c>
      <c r="K66" t="str">
        <f t="shared" si="6"/>
        <v>'BUY',</v>
      </c>
      <c r="L66" t="str">
        <f t="shared" si="7"/>
        <v>'2024-02-19 11:09:00'),</v>
      </c>
      <c r="M66" t="str">
        <f t="shared" si="8"/>
        <v>(7531,459,'AMZN',386.75,'BUY','2024-02-19 11:09:00'),</v>
      </c>
    </row>
    <row r="67" spans="1:13" x14ac:dyDescent="0.2">
      <c r="A67">
        <v>7938</v>
      </c>
      <c r="B67">
        <v>847</v>
      </c>
      <c r="C67" t="s">
        <v>1069</v>
      </c>
      <c r="D67" t="s">
        <v>1131</v>
      </c>
      <c r="E67" t="s">
        <v>1068</v>
      </c>
      <c r="F67" s="8" t="s">
        <v>2127</v>
      </c>
      <c r="G67" t="str">
        <f t="shared" ref="G67:G130" si="9">"("&amp;A67&amp;","</f>
        <v>(7938,</v>
      </c>
      <c r="H67" t="str">
        <f t="shared" ref="H67:H130" si="10">B67&amp;","</f>
        <v>847,</v>
      </c>
      <c r="I67" t="str">
        <f t="shared" ref="I67:I130" si="11">"'"&amp;C67&amp;"',"</f>
        <v>'MSFT',</v>
      </c>
      <c r="J67" t="str">
        <f t="shared" ref="J67:J130" si="12">D67&amp;","</f>
        <v>952.52,</v>
      </c>
      <c r="K67" t="str">
        <f t="shared" ref="K67:K130" si="13">"'"&amp;E67&amp;"',"</f>
        <v>'BUY',</v>
      </c>
      <c r="L67" t="str">
        <f t="shared" ref="L67:L130" si="14">"'"&amp;F67&amp;"'),"</f>
        <v>'2024-02-18 19:25:00'),</v>
      </c>
      <c r="M67" t="str">
        <f t="shared" ref="M67:M130" si="15">G67&amp;H67&amp;I67&amp;J67&amp;K67&amp;L67</f>
        <v>(7938,847,'MSFT',952.52,'BUY','2024-02-18 19:25:00'),</v>
      </c>
    </row>
    <row r="68" spans="1:13" x14ac:dyDescent="0.2">
      <c r="A68">
        <v>7922</v>
      </c>
      <c r="B68">
        <v>839</v>
      </c>
      <c r="C68" t="s">
        <v>1066</v>
      </c>
      <c r="D68" t="s">
        <v>1132</v>
      </c>
      <c r="E68" t="s">
        <v>1062</v>
      </c>
      <c r="F68" s="8" t="s">
        <v>2128</v>
      </c>
      <c r="G68" t="str">
        <f t="shared" si="9"/>
        <v>(7922,</v>
      </c>
      <c r="H68" t="str">
        <f t="shared" si="10"/>
        <v>839,</v>
      </c>
      <c r="I68" t="str">
        <f t="shared" si="11"/>
        <v>'AMZN',</v>
      </c>
      <c r="J68" t="str">
        <f t="shared" si="12"/>
        <v>808.49,</v>
      </c>
      <c r="K68" t="str">
        <f t="shared" si="13"/>
        <v>'SELL',</v>
      </c>
      <c r="L68" t="str">
        <f t="shared" si="14"/>
        <v>'2024-03-22 04:04:00'),</v>
      </c>
      <c r="M68" t="str">
        <f t="shared" si="15"/>
        <v>(7922,839,'AMZN',808.49,'SELL','2024-03-22 04:04:00'),</v>
      </c>
    </row>
    <row r="69" spans="1:13" x14ac:dyDescent="0.2">
      <c r="A69">
        <v>5258</v>
      </c>
      <c r="B69">
        <v>321</v>
      </c>
      <c r="C69" t="s">
        <v>1060</v>
      </c>
      <c r="D69" t="s">
        <v>1133</v>
      </c>
      <c r="E69" t="s">
        <v>1068</v>
      </c>
      <c r="F69" s="8" t="s">
        <v>2129</v>
      </c>
      <c r="G69" t="str">
        <f t="shared" si="9"/>
        <v>(5258,</v>
      </c>
      <c r="H69" t="str">
        <f t="shared" si="10"/>
        <v>321,</v>
      </c>
      <c r="I69" t="str">
        <f t="shared" si="11"/>
        <v>'TSLA',</v>
      </c>
      <c r="J69" t="str">
        <f t="shared" si="12"/>
        <v>207.61,</v>
      </c>
      <c r="K69" t="str">
        <f t="shared" si="13"/>
        <v>'BUY',</v>
      </c>
      <c r="L69" t="str">
        <f t="shared" si="14"/>
        <v>'2024-02-20 21:38:00'),</v>
      </c>
      <c r="M69" t="str">
        <f t="shared" si="15"/>
        <v>(5258,321,'TSLA',207.61,'BUY','2024-02-20 21:38:00'),</v>
      </c>
    </row>
    <row r="70" spans="1:13" x14ac:dyDescent="0.2">
      <c r="A70">
        <v>7531</v>
      </c>
      <c r="B70">
        <v>927</v>
      </c>
      <c r="C70" t="s">
        <v>1060</v>
      </c>
      <c r="D70" t="s">
        <v>1134</v>
      </c>
      <c r="E70" t="s">
        <v>1068</v>
      </c>
      <c r="F70" s="8" t="s">
        <v>2130</v>
      </c>
      <c r="G70" t="str">
        <f t="shared" si="9"/>
        <v>(7531,</v>
      </c>
      <c r="H70" t="str">
        <f t="shared" si="10"/>
        <v>927,</v>
      </c>
      <c r="I70" t="str">
        <f t="shared" si="11"/>
        <v>'TSLA',</v>
      </c>
      <c r="J70" t="str">
        <f t="shared" si="12"/>
        <v>191.14,</v>
      </c>
      <c r="K70" t="str">
        <f t="shared" si="13"/>
        <v>'BUY',</v>
      </c>
      <c r="L70" t="str">
        <f t="shared" si="14"/>
        <v>'2024-01-16 07:33:00'),</v>
      </c>
      <c r="M70" t="str">
        <f t="shared" si="15"/>
        <v>(7531,927,'TSLA',191.14,'BUY','2024-01-16 07:33:00'),</v>
      </c>
    </row>
    <row r="71" spans="1:13" x14ac:dyDescent="0.2">
      <c r="A71">
        <v>6298</v>
      </c>
      <c r="B71">
        <v>409</v>
      </c>
      <c r="C71" t="s">
        <v>1066</v>
      </c>
      <c r="D71" t="s">
        <v>1135</v>
      </c>
      <c r="E71" t="s">
        <v>1068</v>
      </c>
      <c r="F71" s="8" t="s">
        <v>2131</v>
      </c>
      <c r="G71" t="str">
        <f t="shared" si="9"/>
        <v>(6298,</v>
      </c>
      <c r="H71" t="str">
        <f t="shared" si="10"/>
        <v>409,</v>
      </c>
      <c r="I71" t="str">
        <f t="shared" si="11"/>
        <v>'AMZN',</v>
      </c>
      <c r="J71" t="str">
        <f t="shared" si="12"/>
        <v>981.87,</v>
      </c>
      <c r="K71" t="str">
        <f t="shared" si="13"/>
        <v>'BUY',</v>
      </c>
      <c r="L71" t="str">
        <f t="shared" si="14"/>
        <v>'2024-02-25 11:38:00'),</v>
      </c>
      <c r="M71" t="str">
        <f t="shared" si="15"/>
        <v>(6298,409,'AMZN',981.87,'BUY','2024-02-25 11:38:00'),</v>
      </c>
    </row>
    <row r="72" spans="1:13" x14ac:dyDescent="0.2">
      <c r="A72">
        <v>5297</v>
      </c>
      <c r="B72">
        <v>213</v>
      </c>
      <c r="C72" t="s">
        <v>1063</v>
      </c>
      <c r="D72" t="s">
        <v>1136</v>
      </c>
      <c r="E72" t="s">
        <v>1062</v>
      </c>
      <c r="F72" s="8" t="s">
        <v>2132</v>
      </c>
      <c r="G72" t="str">
        <f t="shared" si="9"/>
        <v>(5297,</v>
      </c>
      <c r="H72" t="str">
        <f t="shared" si="10"/>
        <v>213,</v>
      </c>
      <c r="I72" t="str">
        <f t="shared" si="11"/>
        <v>'META',</v>
      </c>
      <c r="J72" t="str">
        <f t="shared" si="12"/>
        <v>975.01,</v>
      </c>
      <c r="K72" t="str">
        <f t="shared" si="13"/>
        <v>'SELL',</v>
      </c>
      <c r="L72" t="str">
        <f t="shared" si="14"/>
        <v>'2024-03-27 10:36:00'),</v>
      </c>
      <c r="M72" t="str">
        <f t="shared" si="15"/>
        <v>(5297,213,'META',975.01,'SELL','2024-03-27 10:36:00'),</v>
      </c>
    </row>
    <row r="73" spans="1:13" x14ac:dyDescent="0.2">
      <c r="A73">
        <v>7938</v>
      </c>
      <c r="B73">
        <v>166</v>
      </c>
      <c r="C73" t="s">
        <v>1066</v>
      </c>
      <c r="D73" t="s">
        <v>1137</v>
      </c>
      <c r="E73" t="s">
        <v>1068</v>
      </c>
      <c r="F73" s="8" t="s">
        <v>2133</v>
      </c>
      <c r="G73" t="str">
        <f t="shared" si="9"/>
        <v>(7938,</v>
      </c>
      <c r="H73" t="str">
        <f t="shared" si="10"/>
        <v>166,</v>
      </c>
      <c r="I73" t="str">
        <f t="shared" si="11"/>
        <v>'AMZN',</v>
      </c>
      <c r="J73" t="str">
        <f t="shared" si="12"/>
        <v>362.01,</v>
      </c>
      <c r="K73" t="str">
        <f t="shared" si="13"/>
        <v>'BUY',</v>
      </c>
      <c r="L73" t="str">
        <f t="shared" si="14"/>
        <v>'2024-05-30 14:47:00'),</v>
      </c>
      <c r="M73" t="str">
        <f t="shared" si="15"/>
        <v>(7938,166,'AMZN',362.01,'BUY','2024-05-30 14:47:00'),</v>
      </c>
    </row>
    <row r="74" spans="1:13" x14ac:dyDescent="0.2">
      <c r="A74">
        <v>5751</v>
      </c>
      <c r="B74">
        <v>619</v>
      </c>
      <c r="C74" t="s">
        <v>1069</v>
      </c>
      <c r="D74" t="s">
        <v>1138</v>
      </c>
      <c r="E74" t="s">
        <v>1068</v>
      </c>
      <c r="F74" s="8" t="s">
        <v>2134</v>
      </c>
      <c r="G74" t="str">
        <f t="shared" si="9"/>
        <v>(5751,</v>
      </c>
      <c r="H74" t="str">
        <f t="shared" si="10"/>
        <v>619,</v>
      </c>
      <c r="I74" t="str">
        <f t="shared" si="11"/>
        <v>'MSFT',</v>
      </c>
      <c r="J74" t="str">
        <f t="shared" si="12"/>
        <v>503.32,</v>
      </c>
      <c r="K74" t="str">
        <f t="shared" si="13"/>
        <v>'BUY',</v>
      </c>
      <c r="L74" t="str">
        <f t="shared" si="14"/>
        <v>'2024-05-29 20:14:00'),</v>
      </c>
      <c r="M74" t="str">
        <f t="shared" si="15"/>
        <v>(5751,619,'MSFT',503.32,'BUY','2024-05-29 20:14:00'),</v>
      </c>
    </row>
    <row r="75" spans="1:13" x14ac:dyDescent="0.2">
      <c r="A75">
        <v>9094</v>
      </c>
      <c r="B75">
        <v>546</v>
      </c>
      <c r="C75" t="s">
        <v>1069</v>
      </c>
      <c r="D75" t="s">
        <v>1139</v>
      </c>
      <c r="E75" t="s">
        <v>1062</v>
      </c>
      <c r="F75" s="8" t="s">
        <v>2135</v>
      </c>
      <c r="G75" t="str">
        <f t="shared" si="9"/>
        <v>(9094,</v>
      </c>
      <c r="H75" t="str">
        <f t="shared" si="10"/>
        <v>546,</v>
      </c>
      <c r="I75" t="str">
        <f t="shared" si="11"/>
        <v>'MSFT',</v>
      </c>
      <c r="J75" t="str">
        <f t="shared" si="12"/>
        <v>134.91,</v>
      </c>
      <c r="K75" t="str">
        <f t="shared" si="13"/>
        <v>'SELL',</v>
      </c>
      <c r="L75" t="str">
        <f t="shared" si="14"/>
        <v>'2024-03-08 16:01:00'),</v>
      </c>
      <c r="M75" t="str">
        <f t="shared" si="15"/>
        <v>(9094,546,'MSFT',134.91,'SELL','2024-03-08 16:01:00'),</v>
      </c>
    </row>
    <row r="76" spans="1:13" x14ac:dyDescent="0.2">
      <c r="A76">
        <v>4669</v>
      </c>
      <c r="B76">
        <v>227</v>
      </c>
      <c r="C76" t="s">
        <v>1063</v>
      </c>
      <c r="D76" t="s">
        <v>1140</v>
      </c>
      <c r="E76" t="s">
        <v>1068</v>
      </c>
      <c r="F76" s="8" t="s">
        <v>2136</v>
      </c>
      <c r="G76" t="str">
        <f t="shared" si="9"/>
        <v>(4669,</v>
      </c>
      <c r="H76" t="str">
        <f t="shared" si="10"/>
        <v>227,</v>
      </c>
      <c r="I76" t="str">
        <f t="shared" si="11"/>
        <v>'META',</v>
      </c>
      <c r="J76" t="str">
        <f t="shared" si="12"/>
        <v>926.13,</v>
      </c>
      <c r="K76" t="str">
        <f t="shared" si="13"/>
        <v>'BUY',</v>
      </c>
      <c r="L76" t="str">
        <f t="shared" si="14"/>
        <v>'2024-04-30 07:54:00'),</v>
      </c>
      <c r="M76" t="str">
        <f t="shared" si="15"/>
        <v>(4669,227,'META',926.13,'BUY','2024-04-30 07:54:00'),</v>
      </c>
    </row>
    <row r="77" spans="1:13" x14ac:dyDescent="0.2">
      <c r="A77">
        <v>5258</v>
      </c>
      <c r="B77">
        <v>8</v>
      </c>
      <c r="C77" t="s">
        <v>1060</v>
      </c>
      <c r="D77" t="s">
        <v>1141</v>
      </c>
      <c r="E77" t="s">
        <v>1062</v>
      </c>
      <c r="F77" s="8" t="s">
        <v>2137</v>
      </c>
      <c r="G77" t="str">
        <f t="shared" si="9"/>
        <v>(5258,</v>
      </c>
      <c r="H77" t="str">
        <f t="shared" si="10"/>
        <v>8,</v>
      </c>
      <c r="I77" t="str">
        <f t="shared" si="11"/>
        <v>'TSLA',</v>
      </c>
      <c r="J77" t="str">
        <f t="shared" si="12"/>
        <v>311.81,</v>
      </c>
      <c r="K77" t="str">
        <f t="shared" si="13"/>
        <v>'SELL',</v>
      </c>
      <c r="L77" t="str">
        <f t="shared" si="14"/>
        <v>'2024-03-08 20:25:00'),</v>
      </c>
      <c r="M77" t="str">
        <f t="shared" si="15"/>
        <v>(5258,8,'TSLA',311.81,'SELL','2024-03-08 20:25:00'),</v>
      </c>
    </row>
    <row r="78" spans="1:13" x14ac:dyDescent="0.2">
      <c r="A78">
        <v>4168</v>
      </c>
      <c r="B78">
        <v>812</v>
      </c>
      <c r="C78" t="s">
        <v>1063</v>
      </c>
      <c r="D78" t="s">
        <v>1142</v>
      </c>
      <c r="E78" t="s">
        <v>1062</v>
      </c>
      <c r="F78" s="8" t="s">
        <v>2138</v>
      </c>
      <c r="G78" t="str">
        <f t="shared" si="9"/>
        <v>(4168,</v>
      </c>
      <c r="H78" t="str">
        <f t="shared" si="10"/>
        <v>812,</v>
      </c>
      <c r="I78" t="str">
        <f t="shared" si="11"/>
        <v>'META',</v>
      </c>
      <c r="J78" t="str">
        <f t="shared" si="12"/>
        <v>554.43,</v>
      </c>
      <c r="K78" t="str">
        <f t="shared" si="13"/>
        <v>'SELL',</v>
      </c>
      <c r="L78" t="str">
        <f t="shared" si="14"/>
        <v>'2024-03-25 21:07:00'),</v>
      </c>
      <c r="M78" t="str">
        <f t="shared" si="15"/>
        <v>(4168,812,'META',554.43,'SELL','2024-03-25 21:07:00'),</v>
      </c>
    </row>
    <row r="79" spans="1:13" x14ac:dyDescent="0.2">
      <c r="A79">
        <v>5297</v>
      </c>
      <c r="B79">
        <v>919</v>
      </c>
      <c r="C79" t="s">
        <v>1063</v>
      </c>
      <c r="D79" t="s">
        <v>1143</v>
      </c>
      <c r="E79" t="s">
        <v>1062</v>
      </c>
      <c r="F79" s="8" t="s">
        <v>2139</v>
      </c>
      <c r="G79" t="str">
        <f t="shared" si="9"/>
        <v>(5297,</v>
      </c>
      <c r="H79" t="str">
        <f t="shared" si="10"/>
        <v>919,</v>
      </c>
      <c r="I79" t="str">
        <f t="shared" si="11"/>
        <v>'META',</v>
      </c>
      <c r="J79" t="str">
        <f t="shared" si="12"/>
        <v>718.55,</v>
      </c>
      <c r="K79" t="str">
        <f t="shared" si="13"/>
        <v>'SELL',</v>
      </c>
      <c r="L79" t="str">
        <f t="shared" si="14"/>
        <v>'2024-02-08 05:04:00'),</v>
      </c>
      <c r="M79" t="str">
        <f t="shared" si="15"/>
        <v>(5297,919,'META',718.55,'SELL','2024-02-08 05:04:00'),</v>
      </c>
    </row>
    <row r="80" spans="1:13" x14ac:dyDescent="0.2">
      <c r="A80">
        <v>2941</v>
      </c>
      <c r="B80">
        <v>672</v>
      </c>
      <c r="C80" t="s">
        <v>1063</v>
      </c>
      <c r="D80" t="s">
        <v>1144</v>
      </c>
      <c r="E80" t="s">
        <v>1062</v>
      </c>
      <c r="F80" s="8" t="s">
        <v>2140</v>
      </c>
      <c r="G80" t="str">
        <f t="shared" si="9"/>
        <v>(2941,</v>
      </c>
      <c r="H80" t="str">
        <f t="shared" si="10"/>
        <v>672,</v>
      </c>
      <c r="I80" t="str">
        <f t="shared" si="11"/>
        <v>'META',</v>
      </c>
      <c r="J80" t="str">
        <f t="shared" si="12"/>
        <v>341.72,</v>
      </c>
      <c r="K80" t="str">
        <f t="shared" si="13"/>
        <v>'SELL',</v>
      </c>
      <c r="L80" t="str">
        <f t="shared" si="14"/>
        <v>'2024-03-18 06:52:00'),</v>
      </c>
      <c r="M80" t="str">
        <f t="shared" si="15"/>
        <v>(2941,672,'META',341.72,'SELL','2024-03-18 06:52:00'),</v>
      </c>
    </row>
    <row r="81" spans="1:13" x14ac:dyDescent="0.2">
      <c r="A81">
        <v>4669</v>
      </c>
      <c r="B81">
        <v>755</v>
      </c>
      <c r="C81" t="s">
        <v>1060</v>
      </c>
      <c r="D81" t="s">
        <v>1145</v>
      </c>
      <c r="E81" t="s">
        <v>1062</v>
      </c>
      <c r="F81" s="8" t="s">
        <v>2141</v>
      </c>
      <c r="G81" t="str">
        <f t="shared" si="9"/>
        <v>(4669,</v>
      </c>
      <c r="H81" t="str">
        <f t="shared" si="10"/>
        <v>755,</v>
      </c>
      <c r="I81" t="str">
        <f t="shared" si="11"/>
        <v>'TSLA',</v>
      </c>
      <c r="J81" t="str">
        <f t="shared" si="12"/>
        <v>150.05,</v>
      </c>
      <c r="K81" t="str">
        <f t="shared" si="13"/>
        <v>'SELL',</v>
      </c>
      <c r="L81" t="str">
        <f t="shared" si="14"/>
        <v>'2024-04-16 13:46:00'),</v>
      </c>
      <c r="M81" t="str">
        <f t="shared" si="15"/>
        <v>(4669,755,'TSLA',150.05,'SELL','2024-04-16 13:46:00'),</v>
      </c>
    </row>
    <row r="82" spans="1:13" x14ac:dyDescent="0.2">
      <c r="A82">
        <v>7531</v>
      </c>
      <c r="B82">
        <v>323</v>
      </c>
      <c r="C82" t="s">
        <v>1060</v>
      </c>
      <c r="D82" t="s">
        <v>1146</v>
      </c>
      <c r="E82" t="s">
        <v>1062</v>
      </c>
      <c r="F82" s="8" t="s">
        <v>2142</v>
      </c>
      <c r="G82" t="str">
        <f t="shared" si="9"/>
        <v>(7531,</v>
      </c>
      <c r="H82" t="str">
        <f t="shared" si="10"/>
        <v>323,</v>
      </c>
      <c r="I82" t="str">
        <f t="shared" si="11"/>
        <v>'TSLA',</v>
      </c>
      <c r="J82" t="str">
        <f t="shared" si="12"/>
        <v>453.81,</v>
      </c>
      <c r="K82" t="str">
        <f t="shared" si="13"/>
        <v>'SELL',</v>
      </c>
      <c r="L82" t="str">
        <f t="shared" si="14"/>
        <v>'2024-03-16 05:51:00'),</v>
      </c>
      <c r="M82" t="str">
        <f t="shared" si="15"/>
        <v>(7531,323,'TSLA',453.81,'SELL','2024-03-16 05:51:00'),</v>
      </c>
    </row>
    <row r="83" spans="1:13" x14ac:dyDescent="0.2">
      <c r="A83">
        <v>5258</v>
      </c>
      <c r="B83">
        <v>314</v>
      </c>
      <c r="C83" t="s">
        <v>1066</v>
      </c>
      <c r="D83" t="s">
        <v>1147</v>
      </c>
      <c r="E83" t="s">
        <v>1068</v>
      </c>
      <c r="F83" s="8" t="s">
        <v>2143</v>
      </c>
      <c r="G83" t="str">
        <f t="shared" si="9"/>
        <v>(5258,</v>
      </c>
      <c r="H83" t="str">
        <f t="shared" si="10"/>
        <v>314,</v>
      </c>
      <c r="I83" t="str">
        <f t="shared" si="11"/>
        <v>'AMZN',</v>
      </c>
      <c r="J83" t="str">
        <f t="shared" si="12"/>
        <v>619.22,</v>
      </c>
      <c r="K83" t="str">
        <f t="shared" si="13"/>
        <v>'BUY',</v>
      </c>
      <c r="L83" t="str">
        <f t="shared" si="14"/>
        <v>'2024-05-05 05:51:00'),</v>
      </c>
      <c r="M83" t="str">
        <f t="shared" si="15"/>
        <v>(5258,314,'AMZN',619.22,'BUY','2024-05-05 05:51:00'),</v>
      </c>
    </row>
    <row r="84" spans="1:13" x14ac:dyDescent="0.2">
      <c r="A84">
        <v>4710</v>
      </c>
      <c r="B84">
        <v>110</v>
      </c>
      <c r="C84" t="s">
        <v>1063</v>
      </c>
      <c r="D84" t="s">
        <v>1148</v>
      </c>
      <c r="E84" t="s">
        <v>1062</v>
      </c>
      <c r="F84" s="8" t="s">
        <v>2144</v>
      </c>
      <c r="G84" t="str">
        <f t="shared" si="9"/>
        <v>(4710,</v>
      </c>
      <c r="H84" t="str">
        <f t="shared" si="10"/>
        <v>110,</v>
      </c>
      <c r="I84" t="str">
        <f t="shared" si="11"/>
        <v>'META',</v>
      </c>
      <c r="J84" t="str">
        <f t="shared" si="12"/>
        <v>653.44,</v>
      </c>
      <c r="K84" t="str">
        <f t="shared" si="13"/>
        <v>'SELL',</v>
      </c>
      <c r="L84" t="str">
        <f t="shared" si="14"/>
        <v>'2024-05-11 15:03:00'),</v>
      </c>
      <c r="M84" t="str">
        <f t="shared" si="15"/>
        <v>(4710,110,'META',653.44,'SELL','2024-05-11 15:03:00'),</v>
      </c>
    </row>
    <row r="85" spans="1:13" x14ac:dyDescent="0.2">
      <c r="A85">
        <v>7922</v>
      </c>
      <c r="B85">
        <v>275</v>
      </c>
      <c r="C85" t="s">
        <v>1066</v>
      </c>
      <c r="D85" t="s">
        <v>1149</v>
      </c>
      <c r="E85" t="s">
        <v>1062</v>
      </c>
      <c r="F85" s="8" t="s">
        <v>2145</v>
      </c>
      <c r="G85" t="str">
        <f t="shared" si="9"/>
        <v>(7922,</v>
      </c>
      <c r="H85" t="str">
        <f t="shared" si="10"/>
        <v>275,</v>
      </c>
      <c r="I85" t="str">
        <f t="shared" si="11"/>
        <v>'AMZN',</v>
      </c>
      <c r="J85" t="str">
        <f t="shared" si="12"/>
        <v>220.84,</v>
      </c>
      <c r="K85" t="str">
        <f t="shared" si="13"/>
        <v>'SELL',</v>
      </c>
      <c r="L85" t="str">
        <f t="shared" si="14"/>
        <v>'2024-04-20 09:39:00'),</v>
      </c>
      <c r="M85" t="str">
        <f t="shared" si="15"/>
        <v>(7922,275,'AMZN',220.84,'SELL','2024-04-20 09:39:00'),</v>
      </c>
    </row>
    <row r="86" spans="1:13" x14ac:dyDescent="0.2">
      <c r="A86">
        <v>7531</v>
      </c>
      <c r="B86">
        <v>262</v>
      </c>
      <c r="C86" t="s">
        <v>1063</v>
      </c>
      <c r="D86" t="s">
        <v>1150</v>
      </c>
      <c r="E86" t="s">
        <v>1062</v>
      </c>
      <c r="F86" s="8" t="s">
        <v>2146</v>
      </c>
      <c r="G86" t="str">
        <f t="shared" si="9"/>
        <v>(7531,</v>
      </c>
      <c r="H86" t="str">
        <f t="shared" si="10"/>
        <v>262,</v>
      </c>
      <c r="I86" t="str">
        <f t="shared" si="11"/>
        <v>'META',</v>
      </c>
      <c r="J86" t="str">
        <f t="shared" si="12"/>
        <v>716.1,</v>
      </c>
      <c r="K86" t="str">
        <f t="shared" si="13"/>
        <v>'SELL',</v>
      </c>
      <c r="L86" t="str">
        <f t="shared" si="14"/>
        <v>'2024-05-23 21:58:00'),</v>
      </c>
      <c r="M86" t="str">
        <f t="shared" si="15"/>
        <v>(7531,262,'META',716.1,'SELL','2024-05-23 21:58:00'),</v>
      </c>
    </row>
    <row r="87" spans="1:13" x14ac:dyDescent="0.2">
      <c r="A87">
        <v>7531</v>
      </c>
      <c r="B87">
        <v>35</v>
      </c>
      <c r="C87" t="s">
        <v>1060</v>
      </c>
      <c r="D87" t="s">
        <v>1151</v>
      </c>
      <c r="E87" t="s">
        <v>1062</v>
      </c>
      <c r="F87" s="8" t="s">
        <v>2147</v>
      </c>
      <c r="G87" t="str">
        <f t="shared" si="9"/>
        <v>(7531,</v>
      </c>
      <c r="H87" t="str">
        <f t="shared" si="10"/>
        <v>35,</v>
      </c>
      <c r="I87" t="str">
        <f t="shared" si="11"/>
        <v>'TSLA',</v>
      </c>
      <c r="J87" t="str">
        <f t="shared" si="12"/>
        <v>808.01,</v>
      </c>
      <c r="K87" t="str">
        <f t="shared" si="13"/>
        <v>'SELL',</v>
      </c>
      <c r="L87" t="str">
        <f t="shared" si="14"/>
        <v>'2024-01-16 19:17:00'),</v>
      </c>
      <c r="M87" t="str">
        <f t="shared" si="15"/>
        <v>(7531,35,'TSLA',808.01,'SELL','2024-01-16 19:17:00'),</v>
      </c>
    </row>
    <row r="88" spans="1:13" x14ac:dyDescent="0.2">
      <c r="A88">
        <v>1691</v>
      </c>
      <c r="B88">
        <v>629</v>
      </c>
      <c r="C88" t="s">
        <v>1063</v>
      </c>
      <c r="D88" t="s">
        <v>1152</v>
      </c>
      <c r="E88" t="s">
        <v>1062</v>
      </c>
      <c r="F88" s="8" t="s">
        <v>2148</v>
      </c>
      <c r="G88" t="str">
        <f t="shared" si="9"/>
        <v>(1691,</v>
      </c>
      <c r="H88" t="str">
        <f t="shared" si="10"/>
        <v>629,</v>
      </c>
      <c r="I88" t="str">
        <f t="shared" si="11"/>
        <v>'META',</v>
      </c>
      <c r="J88" t="str">
        <f t="shared" si="12"/>
        <v>177.22,</v>
      </c>
      <c r="K88" t="str">
        <f t="shared" si="13"/>
        <v>'SELL',</v>
      </c>
      <c r="L88" t="str">
        <f t="shared" si="14"/>
        <v>'2024-03-04 09:17:00'),</v>
      </c>
      <c r="M88" t="str">
        <f t="shared" si="15"/>
        <v>(1691,629,'META',177.22,'SELL','2024-03-04 09:17:00'),</v>
      </c>
    </row>
    <row r="89" spans="1:13" x14ac:dyDescent="0.2">
      <c r="A89">
        <v>9952</v>
      </c>
      <c r="B89">
        <v>768</v>
      </c>
      <c r="C89" t="s">
        <v>1066</v>
      </c>
      <c r="D89" t="s">
        <v>1153</v>
      </c>
      <c r="E89" t="s">
        <v>1068</v>
      </c>
      <c r="F89" s="8" t="s">
        <v>2149</v>
      </c>
      <c r="G89" t="str">
        <f t="shared" si="9"/>
        <v>(9952,</v>
      </c>
      <c r="H89" t="str">
        <f t="shared" si="10"/>
        <v>768,</v>
      </c>
      <c r="I89" t="str">
        <f t="shared" si="11"/>
        <v>'AMZN',</v>
      </c>
      <c r="J89" t="str">
        <f t="shared" si="12"/>
        <v>764.23,</v>
      </c>
      <c r="K89" t="str">
        <f t="shared" si="13"/>
        <v>'BUY',</v>
      </c>
      <c r="L89" t="str">
        <f t="shared" si="14"/>
        <v>'2024-02-27 16:31:00'),</v>
      </c>
      <c r="M89" t="str">
        <f t="shared" si="15"/>
        <v>(9952,768,'AMZN',764.23,'BUY','2024-02-27 16:31:00'),</v>
      </c>
    </row>
    <row r="90" spans="1:13" x14ac:dyDescent="0.2">
      <c r="A90">
        <v>4168</v>
      </c>
      <c r="B90">
        <v>558</v>
      </c>
      <c r="C90" t="s">
        <v>1060</v>
      </c>
      <c r="D90" t="s">
        <v>1154</v>
      </c>
      <c r="E90" t="s">
        <v>1062</v>
      </c>
      <c r="F90" s="8" t="s">
        <v>2150</v>
      </c>
      <c r="G90" t="str">
        <f t="shared" si="9"/>
        <v>(4168,</v>
      </c>
      <c r="H90" t="str">
        <f t="shared" si="10"/>
        <v>558,</v>
      </c>
      <c r="I90" t="str">
        <f t="shared" si="11"/>
        <v>'TSLA',</v>
      </c>
      <c r="J90" t="str">
        <f t="shared" si="12"/>
        <v>211.4,</v>
      </c>
      <c r="K90" t="str">
        <f t="shared" si="13"/>
        <v>'SELL',</v>
      </c>
      <c r="L90" t="str">
        <f t="shared" si="14"/>
        <v>'2024-01-31 06:04:00'),</v>
      </c>
      <c r="M90" t="str">
        <f t="shared" si="15"/>
        <v>(4168,558,'TSLA',211.4,'SELL','2024-01-31 06:04:00'),</v>
      </c>
    </row>
    <row r="91" spans="1:13" x14ac:dyDescent="0.2">
      <c r="A91">
        <v>2941</v>
      </c>
      <c r="B91">
        <v>48</v>
      </c>
      <c r="C91" t="s">
        <v>1066</v>
      </c>
      <c r="D91" t="s">
        <v>1155</v>
      </c>
      <c r="E91" t="s">
        <v>1062</v>
      </c>
      <c r="F91" s="8" t="s">
        <v>2151</v>
      </c>
      <c r="G91" t="str">
        <f t="shared" si="9"/>
        <v>(2941,</v>
      </c>
      <c r="H91" t="str">
        <f t="shared" si="10"/>
        <v>48,</v>
      </c>
      <c r="I91" t="str">
        <f t="shared" si="11"/>
        <v>'AMZN',</v>
      </c>
      <c r="J91" t="str">
        <f t="shared" si="12"/>
        <v>528.02,</v>
      </c>
      <c r="K91" t="str">
        <f t="shared" si="13"/>
        <v>'SELL',</v>
      </c>
      <c r="L91" t="str">
        <f t="shared" si="14"/>
        <v>'2024-02-07 19:18:00'),</v>
      </c>
      <c r="M91" t="str">
        <f t="shared" si="15"/>
        <v>(2941,48,'AMZN',528.02,'SELL','2024-02-07 19:18:00'),</v>
      </c>
    </row>
    <row r="92" spans="1:13" x14ac:dyDescent="0.2">
      <c r="A92">
        <v>4669</v>
      </c>
      <c r="B92">
        <v>276</v>
      </c>
      <c r="C92" t="s">
        <v>1066</v>
      </c>
      <c r="D92" t="s">
        <v>1156</v>
      </c>
      <c r="E92" t="s">
        <v>1062</v>
      </c>
      <c r="F92" s="8" t="s">
        <v>2152</v>
      </c>
      <c r="G92" t="str">
        <f t="shared" si="9"/>
        <v>(4669,</v>
      </c>
      <c r="H92" t="str">
        <f t="shared" si="10"/>
        <v>276,</v>
      </c>
      <c r="I92" t="str">
        <f t="shared" si="11"/>
        <v>'AMZN',</v>
      </c>
      <c r="J92" t="str">
        <f t="shared" si="12"/>
        <v>445.5,</v>
      </c>
      <c r="K92" t="str">
        <f t="shared" si="13"/>
        <v>'SELL',</v>
      </c>
      <c r="L92" t="str">
        <f t="shared" si="14"/>
        <v>'2024-05-30 14:22:00'),</v>
      </c>
      <c r="M92" t="str">
        <f t="shared" si="15"/>
        <v>(4669,276,'AMZN',445.5,'SELL','2024-05-30 14:22:00'),</v>
      </c>
    </row>
    <row r="93" spans="1:13" x14ac:dyDescent="0.2">
      <c r="A93">
        <v>4710</v>
      </c>
      <c r="B93">
        <v>165</v>
      </c>
      <c r="C93" t="s">
        <v>1069</v>
      </c>
      <c r="D93" t="s">
        <v>1157</v>
      </c>
      <c r="E93" t="s">
        <v>1062</v>
      </c>
      <c r="F93" s="8" t="s">
        <v>2153</v>
      </c>
      <c r="G93" t="str">
        <f t="shared" si="9"/>
        <v>(4710,</v>
      </c>
      <c r="H93" t="str">
        <f t="shared" si="10"/>
        <v>165,</v>
      </c>
      <c r="I93" t="str">
        <f t="shared" si="11"/>
        <v>'MSFT',</v>
      </c>
      <c r="J93" t="str">
        <f t="shared" si="12"/>
        <v>691.4,</v>
      </c>
      <c r="K93" t="str">
        <f t="shared" si="13"/>
        <v>'SELL',</v>
      </c>
      <c r="L93" t="str">
        <f t="shared" si="14"/>
        <v>'2024-03-02 01:58:00'),</v>
      </c>
      <c r="M93" t="str">
        <f t="shared" si="15"/>
        <v>(4710,165,'MSFT',691.4,'SELL','2024-03-02 01:58:00'),</v>
      </c>
    </row>
    <row r="94" spans="1:13" x14ac:dyDescent="0.2">
      <c r="A94">
        <v>5297</v>
      </c>
      <c r="B94">
        <v>607</v>
      </c>
      <c r="C94" t="s">
        <v>1060</v>
      </c>
      <c r="D94" t="s">
        <v>1158</v>
      </c>
      <c r="E94" t="s">
        <v>1068</v>
      </c>
      <c r="F94" s="8" t="s">
        <v>2154</v>
      </c>
      <c r="G94" t="str">
        <f t="shared" si="9"/>
        <v>(5297,</v>
      </c>
      <c r="H94" t="str">
        <f t="shared" si="10"/>
        <v>607,</v>
      </c>
      <c r="I94" t="str">
        <f t="shared" si="11"/>
        <v>'TSLA',</v>
      </c>
      <c r="J94" t="str">
        <f t="shared" si="12"/>
        <v>826.96,</v>
      </c>
      <c r="K94" t="str">
        <f t="shared" si="13"/>
        <v>'BUY',</v>
      </c>
      <c r="L94" t="str">
        <f t="shared" si="14"/>
        <v>'2024-05-05 19:12:00'),</v>
      </c>
      <c r="M94" t="str">
        <f t="shared" si="15"/>
        <v>(5297,607,'TSLA',826.96,'BUY','2024-05-05 19:12:00'),</v>
      </c>
    </row>
    <row r="95" spans="1:13" x14ac:dyDescent="0.2">
      <c r="A95">
        <v>7922</v>
      </c>
      <c r="B95">
        <v>679</v>
      </c>
      <c r="C95" t="s">
        <v>1066</v>
      </c>
      <c r="D95" t="s">
        <v>1159</v>
      </c>
      <c r="E95" t="s">
        <v>1068</v>
      </c>
      <c r="F95" s="8" t="s">
        <v>2155</v>
      </c>
      <c r="G95" t="str">
        <f t="shared" si="9"/>
        <v>(7922,</v>
      </c>
      <c r="H95" t="str">
        <f t="shared" si="10"/>
        <v>679,</v>
      </c>
      <c r="I95" t="str">
        <f t="shared" si="11"/>
        <v>'AMZN',</v>
      </c>
      <c r="J95" t="str">
        <f t="shared" si="12"/>
        <v>516.61,</v>
      </c>
      <c r="K95" t="str">
        <f t="shared" si="13"/>
        <v>'BUY',</v>
      </c>
      <c r="L95" t="str">
        <f t="shared" si="14"/>
        <v>'2024-01-11 18:22:00'),</v>
      </c>
      <c r="M95" t="str">
        <f t="shared" si="15"/>
        <v>(7922,679,'AMZN',516.61,'BUY','2024-01-11 18:22:00'),</v>
      </c>
    </row>
    <row r="96" spans="1:13" x14ac:dyDescent="0.2">
      <c r="A96">
        <v>7922</v>
      </c>
      <c r="B96">
        <v>344</v>
      </c>
      <c r="C96" t="s">
        <v>1066</v>
      </c>
      <c r="D96" t="s">
        <v>1160</v>
      </c>
      <c r="E96" t="s">
        <v>1062</v>
      </c>
      <c r="F96" s="8" t="s">
        <v>2156</v>
      </c>
      <c r="G96" t="str">
        <f t="shared" si="9"/>
        <v>(7922,</v>
      </c>
      <c r="H96" t="str">
        <f t="shared" si="10"/>
        <v>344,</v>
      </c>
      <c r="I96" t="str">
        <f t="shared" si="11"/>
        <v>'AMZN',</v>
      </c>
      <c r="J96" t="str">
        <f t="shared" si="12"/>
        <v>887.43,</v>
      </c>
      <c r="K96" t="str">
        <f t="shared" si="13"/>
        <v>'SELL',</v>
      </c>
      <c r="L96" t="str">
        <f t="shared" si="14"/>
        <v>'2024-05-01 03:51:00'),</v>
      </c>
      <c r="M96" t="str">
        <f t="shared" si="15"/>
        <v>(7922,344,'AMZN',887.43,'SELL','2024-05-01 03:51:00'),</v>
      </c>
    </row>
    <row r="97" spans="1:13" x14ac:dyDescent="0.2">
      <c r="A97">
        <v>4710</v>
      </c>
      <c r="B97">
        <v>871</v>
      </c>
      <c r="C97" t="s">
        <v>1066</v>
      </c>
      <c r="D97" t="s">
        <v>1161</v>
      </c>
      <c r="E97" t="s">
        <v>1068</v>
      </c>
      <c r="F97" s="8" t="s">
        <v>2157</v>
      </c>
      <c r="G97" t="str">
        <f t="shared" si="9"/>
        <v>(4710,</v>
      </c>
      <c r="H97" t="str">
        <f t="shared" si="10"/>
        <v>871,</v>
      </c>
      <c r="I97" t="str">
        <f t="shared" si="11"/>
        <v>'AMZN',</v>
      </c>
      <c r="J97" t="str">
        <f t="shared" si="12"/>
        <v>690.69,</v>
      </c>
      <c r="K97" t="str">
        <f t="shared" si="13"/>
        <v>'BUY',</v>
      </c>
      <c r="L97" t="str">
        <f t="shared" si="14"/>
        <v>'2024-02-11 18:25:00'),</v>
      </c>
      <c r="M97" t="str">
        <f t="shared" si="15"/>
        <v>(4710,871,'AMZN',690.69,'BUY','2024-02-11 18:25:00'),</v>
      </c>
    </row>
    <row r="98" spans="1:13" x14ac:dyDescent="0.2">
      <c r="A98">
        <v>9952</v>
      </c>
      <c r="B98">
        <v>586</v>
      </c>
      <c r="C98" t="s">
        <v>1060</v>
      </c>
      <c r="D98" t="s">
        <v>1162</v>
      </c>
      <c r="E98" t="s">
        <v>1062</v>
      </c>
      <c r="F98" s="8" t="s">
        <v>2158</v>
      </c>
      <c r="G98" t="str">
        <f t="shared" si="9"/>
        <v>(9952,</v>
      </c>
      <c r="H98" t="str">
        <f t="shared" si="10"/>
        <v>586,</v>
      </c>
      <c r="I98" t="str">
        <f t="shared" si="11"/>
        <v>'TSLA',</v>
      </c>
      <c r="J98" t="str">
        <f t="shared" si="12"/>
        <v>645.92,</v>
      </c>
      <c r="K98" t="str">
        <f t="shared" si="13"/>
        <v>'SELL',</v>
      </c>
      <c r="L98" t="str">
        <f t="shared" si="14"/>
        <v>'2024-03-22 10:14:00'),</v>
      </c>
      <c r="M98" t="str">
        <f t="shared" si="15"/>
        <v>(9952,586,'TSLA',645.92,'SELL','2024-03-22 10:14:00'),</v>
      </c>
    </row>
    <row r="99" spans="1:13" x14ac:dyDescent="0.2">
      <c r="A99">
        <v>7922</v>
      </c>
      <c r="B99">
        <v>170</v>
      </c>
      <c r="C99" t="s">
        <v>1069</v>
      </c>
      <c r="D99" t="s">
        <v>1163</v>
      </c>
      <c r="E99" t="s">
        <v>1068</v>
      </c>
      <c r="F99" s="8" t="s">
        <v>2159</v>
      </c>
      <c r="G99" t="str">
        <f t="shared" si="9"/>
        <v>(7922,</v>
      </c>
      <c r="H99" t="str">
        <f t="shared" si="10"/>
        <v>170,</v>
      </c>
      <c r="I99" t="str">
        <f t="shared" si="11"/>
        <v>'MSFT',</v>
      </c>
      <c r="J99" t="str">
        <f t="shared" si="12"/>
        <v>154.26,</v>
      </c>
      <c r="K99" t="str">
        <f t="shared" si="13"/>
        <v>'BUY',</v>
      </c>
      <c r="L99" t="str">
        <f t="shared" si="14"/>
        <v>'2024-04-17 03:00:00'),</v>
      </c>
      <c r="M99" t="str">
        <f t="shared" si="15"/>
        <v>(7922,170,'MSFT',154.26,'BUY','2024-04-17 03:00:00'),</v>
      </c>
    </row>
    <row r="100" spans="1:13" x14ac:dyDescent="0.2">
      <c r="A100">
        <v>4710</v>
      </c>
      <c r="B100">
        <v>935</v>
      </c>
      <c r="C100" t="s">
        <v>1063</v>
      </c>
      <c r="D100" t="s">
        <v>1164</v>
      </c>
      <c r="E100" t="s">
        <v>1062</v>
      </c>
      <c r="F100" s="8" t="s">
        <v>2160</v>
      </c>
      <c r="G100" t="str">
        <f t="shared" si="9"/>
        <v>(4710,</v>
      </c>
      <c r="H100" t="str">
        <f t="shared" si="10"/>
        <v>935,</v>
      </c>
      <c r="I100" t="str">
        <f t="shared" si="11"/>
        <v>'META',</v>
      </c>
      <c r="J100" t="str">
        <f t="shared" si="12"/>
        <v>425.45,</v>
      </c>
      <c r="K100" t="str">
        <f t="shared" si="13"/>
        <v>'SELL',</v>
      </c>
      <c r="L100" t="str">
        <f t="shared" si="14"/>
        <v>'2024-03-23 04:42:00'),</v>
      </c>
      <c r="M100" t="str">
        <f t="shared" si="15"/>
        <v>(4710,935,'META',425.45,'SELL','2024-03-23 04:42:00'),</v>
      </c>
    </row>
    <row r="101" spans="1:13" x14ac:dyDescent="0.2">
      <c r="A101">
        <v>2941</v>
      </c>
      <c r="B101">
        <v>467</v>
      </c>
      <c r="C101" t="s">
        <v>1060</v>
      </c>
      <c r="D101" t="s">
        <v>1165</v>
      </c>
      <c r="E101" t="s">
        <v>1062</v>
      </c>
      <c r="F101" s="8" t="s">
        <v>2161</v>
      </c>
      <c r="G101" t="str">
        <f t="shared" si="9"/>
        <v>(2941,</v>
      </c>
      <c r="H101" t="str">
        <f t="shared" si="10"/>
        <v>467,</v>
      </c>
      <c r="I101" t="str">
        <f t="shared" si="11"/>
        <v>'TSLA',</v>
      </c>
      <c r="J101" t="str">
        <f t="shared" si="12"/>
        <v>515.87,</v>
      </c>
      <c r="K101" t="str">
        <f t="shared" si="13"/>
        <v>'SELL',</v>
      </c>
      <c r="L101" t="str">
        <f t="shared" si="14"/>
        <v>'2024-01-07 17:08:00'),</v>
      </c>
      <c r="M101" t="str">
        <f t="shared" si="15"/>
        <v>(2941,467,'TSLA',515.87,'SELL','2024-01-07 17:08:00'),</v>
      </c>
    </row>
    <row r="102" spans="1:13" x14ac:dyDescent="0.2">
      <c r="A102">
        <v>5705</v>
      </c>
      <c r="B102">
        <v>984</v>
      </c>
      <c r="C102" t="s">
        <v>1066</v>
      </c>
      <c r="D102" t="s">
        <v>1166</v>
      </c>
      <c r="E102" t="s">
        <v>1068</v>
      </c>
      <c r="F102" s="8" t="s">
        <v>2162</v>
      </c>
      <c r="G102" t="str">
        <f t="shared" si="9"/>
        <v>(5705,</v>
      </c>
      <c r="H102" t="str">
        <f t="shared" si="10"/>
        <v>984,</v>
      </c>
      <c r="I102" t="str">
        <f t="shared" si="11"/>
        <v>'AMZN',</v>
      </c>
      <c r="J102" t="str">
        <f t="shared" si="12"/>
        <v>962.39,</v>
      </c>
      <c r="K102" t="str">
        <f t="shared" si="13"/>
        <v>'BUY',</v>
      </c>
      <c r="L102" t="str">
        <f t="shared" si="14"/>
        <v>'2024-01-25 16:35:00'),</v>
      </c>
      <c r="M102" t="str">
        <f t="shared" si="15"/>
        <v>(5705,984,'AMZN',962.39,'BUY','2024-01-25 16:35:00'),</v>
      </c>
    </row>
    <row r="103" spans="1:13" x14ac:dyDescent="0.2">
      <c r="A103">
        <v>9094</v>
      </c>
      <c r="B103">
        <v>980</v>
      </c>
      <c r="C103" t="s">
        <v>1069</v>
      </c>
      <c r="D103" t="s">
        <v>1167</v>
      </c>
      <c r="E103" t="s">
        <v>1062</v>
      </c>
      <c r="F103" s="8" t="s">
        <v>2163</v>
      </c>
      <c r="G103" t="str">
        <f t="shared" si="9"/>
        <v>(9094,</v>
      </c>
      <c r="H103" t="str">
        <f t="shared" si="10"/>
        <v>980,</v>
      </c>
      <c r="I103" t="str">
        <f t="shared" si="11"/>
        <v>'MSFT',</v>
      </c>
      <c r="J103" t="str">
        <f t="shared" si="12"/>
        <v>804.71,</v>
      </c>
      <c r="K103" t="str">
        <f t="shared" si="13"/>
        <v>'SELL',</v>
      </c>
      <c r="L103" t="str">
        <f t="shared" si="14"/>
        <v>'2024-05-02 09:42:00'),</v>
      </c>
      <c r="M103" t="str">
        <f t="shared" si="15"/>
        <v>(9094,980,'MSFT',804.71,'SELL','2024-05-02 09:42:00'),</v>
      </c>
    </row>
    <row r="104" spans="1:13" x14ac:dyDescent="0.2">
      <c r="A104">
        <v>4669</v>
      </c>
      <c r="B104">
        <v>231</v>
      </c>
      <c r="C104" t="s">
        <v>1063</v>
      </c>
      <c r="D104" t="s">
        <v>1168</v>
      </c>
      <c r="E104" t="s">
        <v>1062</v>
      </c>
      <c r="F104" s="8" t="s">
        <v>2164</v>
      </c>
      <c r="G104" t="str">
        <f t="shared" si="9"/>
        <v>(4669,</v>
      </c>
      <c r="H104" t="str">
        <f t="shared" si="10"/>
        <v>231,</v>
      </c>
      <c r="I104" t="str">
        <f t="shared" si="11"/>
        <v>'META',</v>
      </c>
      <c r="J104" t="str">
        <f t="shared" si="12"/>
        <v>690.56,</v>
      </c>
      <c r="K104" t="str">
        <f t="shared" si="13"/>
        <v>'SELL',</v>
      </c>
      <c r="L104" t="str">
        <f t="shared" si="14"/>
        <v>'2024-01-09 17:15:00'),</v>
      </c>
      <c r="M104" t="str">
        <f t="shared" si="15"/>
        <v>(4669,231,'META',690.56,'SELL','2024-01-09 17:15:00'),</v>
      </c>
    </row>
    <row r="105" spans="1:13" x14ac:dyDescent="0.2">
      <c r="A105">
        <v>5751</v>
      </c>
      <c r="B105">
        <v>447</v>
      </c>
      <c r="C105" t="s">
        <v>1069</v>
      </c>
      <c r="D105" t="s">
        <v>1169</v>
      </c>
      <c r="E105" t="s">
        <v>1068</v>
      </c>
      <c r="F105" s="8" t="s">
        <v>2165</v>
      </c>
      <c r="G105" t="str">
        <f t="shared" si="9"/>
        <v>(5751,</v>
      </c>
      <c r="H105" t="str">
        <f t="shared" si="10"/>
        <v>447,</v>
      </c>
      <c r="I105" t="str">
        <f t="shared" si="11"/>
        <v>'MSFT',</v>
      </c>
      <c r="J105" t="str">
        <f t="shared" si="12"/>
        <v>943.88,</v>
      </c>
      <c r="K105" t="str">
        <f t="shared" si="13"/>
        <v>'BUY',</v>
      </c>
      <c r="L105" t="str">
        <f t="shared" si="14"/>
        <v>'2024-02-09 08:31:00'),</v>
      </c>
      <c r="M105" t="str">
        <f t="shared" si="15"/>
        <v>(5751,447,'MSFT',943.88,'BUY','2024-02-09 08:31:00'),</v>
      </c>
    </row>
    <row r="106" spans="1:13" x14ac:dyDescent="0.2">
      <c r="A106">
        <v>7938</v>
      </c>
      <c r="B106">
        <v>176</v>
      </c>
      <c r="C106" t="s">
        <v>1066</v>
      </c>
      <c r="D106" t="s">
        <v>1170</v>
      </c>
      <c r="E106" t="s">
        <v>1062</v>
      </c>
      <c r="F106" s="8" t="s">
        <v>2166</v>
      </c>
      <c r="G106" t="str">
        <f t="shared" si="9"/>
        <v>(7938,</v>
      </c>
      <c r="H106" t="str">
        <f t="shared" si="10"/>
        <v>176,</v>
      </c>
      <c r="I106" t="str">
        <f t="shared" si="11"/>
        <v>'AMZN',</v>
      </c>
      <c r="J106" t="str">
        <f t="shared" si="12"/>
        <v>809.94,</v>
      </c>
      <c r="K106" t="str">
        <f t="shared" si="13"/>
        <v>'SELL',</v>
      </c>
      <c r="L106" t="str">
        <f t="shared" si="14"/>
        <v>'2024-01-21 21:47:00'),</v>
      </c>
      <c r="M106" t="str">
        <f t="shared" si="15"/>
        <v>(7938,176,'AMZN',809.94,'SELL','2024-01-21 21:47:00'),</v>
      </c>
    </row>
    <row r="107" spans="1:13" x14ac:dyDescent="0.2">
      <c r="A107">
        <v>7531</v>
      </c>
      <c r="B107">
        <v>854</v>
      </c>
      <c r="C107" t="s">
        <v>1066</v>
      </c>
      <c r="D107" t="s">
        <v>1171</v>
      </c>
      <c r="E107" t="s">
        <v>1068</v>
      </c>
      <c r="F107" s="8" t="s">
        <v>2167</v>
      </c>
      <c r="G107" t="str">
        <f t="shared" si="9"/>
        <v>(7531,</v>
      </c>
      <c r="H107" t="str">
        <f t="shared" si="10"/>
        <v>854,</v>
      </c>
      <c r="I107" t="str">
        <f t="shared" si="11"/>
        <v>'AMZN',</v>
      </c>
      <c r="J107" t="str">
        <f t="shared" si="12"/>
        <v>739.17,</v>
      </c>
      <c r="K107" t="str">
        <f t="shared" si="13"/>
        <v>'BUY',</v>
      </c>
      <c r="L107" t="str">
        <f t="shared" si="14"/>
        <v>'2024-04-19 04:41:00'),</v>
      </c>
      <c r="M107" t="str">
        <f t="shared" si="15"/>
        <v>(7531,854,'AMZN',739.17,'BUY','2024-04-19 04:41:00'),</v>
      </c>
    </row>
    <row r="108" spans="1:13" x14ac:dyDescent="0.2">
      <c r="A108">
        <v>7938</v>
      </c>
      <c r="B108">
        <v>911</v>
      </c>
      <c r="C108" t="s">
        <v>1063</v>
      </c>
      <c r="D108" t="s">
        <v>1172</v>
      </c>
      <c r="E108" t="s">
        <v>1068</v>
      </c>
      <c r="F108" s="8" t="s">
        <v>2168</v>
      </c>
      <c r="G108" t="str">
        <f t="shared" si="9"/>
        <v>(7938,</v>
      </c>
      <c r="H108" t="str">
        <f t="shared" si="10"/>
        <v>911,</v>
      </c>
      <c r="I108" t="str">
        <f t="shared" si="11"/>
        <v>'META',</v>
      </c>
      <c r="J108" t="str">
        <f t="shared" si="12"/>
        <v>883.49,</v>
      </c>
      <c r="K108" t="str">
        <f t="shared" si="13"/>
        <v>'BUY',</v>
      </c>
      <c r="L108" t="str">
        <f t="shared" si="14"/>
        <v>'2024-05-04 05:23:00'),</v>
      </c>
      <c r="M108" t="str">
        <f t="shared" si="15"/>
        <v>(7938,911,'META',883.49,'BUY','2024-05-04 05:23:00'),</v>
      </c>
    </row>
    <row r="109" spans="1:13" x14ac:dyDescent="0.2">
      <c r="A109">
        <v>5297</v>
      </c>
      <c r="B109">
        <v>228</v>
      </c>
      <c r="C109" t="s">
        <v>1060</v>
      </c>
      <c r="D109" t="s">
        <v>1173</v>
      </c>
      <c r="E109" t="s">
        <v>1068</v>
      </c>
      <c r="F109" s="8" t="s">
        <v>2169</v>
      </c>
      <c r="G109" t="str">
        <f t="shared" si="9"/>
        <v>(5297,</v>
      </c>
      <c r="H109" t="str">
        <f t="shared" si="10"/>
        <v>228,</v>
      </c>
      <c r="I109" t="str">
        <f t="shared" si="11"/>
        <v>'TSLA',</v>
      </c>
      <c r="J109" t="str">
        <f t="shared" si="12"/>
        <v>875.57,</v>
      </c>
      <c r="K109" t="str">
        <f t="shared" si="13"/>
        <v>'BUY',</v>
      </c>
      <c r="L109" t="str">
        <f t="shared" si="14"/>
        <v>'2024-04-14 21:09:00'),</v>
      </c>
      <c r="M109" t="str">
        <f t="shared" si="15"/>
        <v>(5297,228,'TSLA',875.57,'BUY','2024-04-14 21:09:00'),</v>
      </c>
    </row>
    <row r="110" spans="1:13" x14ac:dyDescent="0.2">
      <c r="A110">
        <v>7938</v>
      </c>
      <c r="B110">
        <v>547</v>
      </c>
      <c r="C110" t="s">
        <v>1060</v>
      </c>
      <c r="D110" t="s">
        <v>1174</v>
      </c>
      <c r="E110" t="s">
        <v>1068</v>
      </c>
      <c r="F110" s="8" t="s">
        <v>2170</v>
      </c>
      <c r="G110" t="str">
        <f t="shared" si="9"/>
        <v>(7938,</v>
      </c>
      <c r="H110" t="str">
        <f t="shared" si="10"/>
        <v>547,</v>
      </c>
      <c r="I110" t="str">
        <f t="shared" si="11"/>
        <v>'TSLA',</v>
      </c>
      <c r="J110" t="str">
        <f t="shared" si="12"/>
        <v>733.09,</v>
      </c>
      <c r="K110" t="str">
        <f t="shared" si="13"/>
        <v>'BUY',</v>
      </c>
      <c r="L110" t="str">
        <f t="shared" si="14"/>
        <v>'2024-05-12 20:44:00'),</v>
      </c>
      <c r="M110" t="str">
        <f t="shared" si="15"/>
        <v>(7938,547,'TSLA',733.09,'BUY','2024-05-12 20:44:00'),</v>
      </c>
    </row>
    <row r="111" spans="1:13" x14ac:dyDescent="0.2">
      <c r="A111">
        <v>1691</v>
      </c>
      <c r="B111">
        <v>668</v>
      </c>
      <c r="C111" t="s">
        <v>1069</v>
      </c>
      <c r="D111" t="s">
        <v>1175</v>
      </c>
      <c r="E111" t="s">
        <v>1062</v>
      </c>
      <c r="F111" s="8" t="s">
        <v>2171</v>
      </c>
      <c r="G111" t="str">
        <f t="shared" si="9"/>
        <v>(1691,</v>
      </c>
      <c r="H111" t="str">
        <f t="shared" si="10"/>
        <v>668,</v>
      </c>
      <c r="I111" t="str">
        <f t="shared" si="11"/>
        <v>'MSFT',</v>
      </c>
      <c r="J111" t="str">
        <f t="shared" si="12"/>
        <v>654.85,</v>
      </c>
      <c r="K111" t="str">
        <f t="shared" si="13"/>
        <v>'SELL',</v>
      </c>
      <c r="L111" t="str">
        <f t="shared" si="14"/>
        <v>'2024-02-13 02:42:00'),</v>
      </c>
      <c r="M111" t="str">
        <f t="shared" si="15"/>
        <v>(1691,668,'MSFT',654.85,'SELL','2024-02-13 02:42:00'),</v>
      </c>
    </row>
    <row r="112" spans="1:13" x14ac:dyDescent="0.2">
      <c r="A112">
        <v>4710</v>
      </c>
      <c r="B112">
        <v>583</v>
      </c>
      <c r="C112" t="s">
        <v>1069</v>
      </c>
      <c r="D112" t="s">
        <v>1176</v>
      </c>
      <c r="E112" t="s">
        <v>1068</v>
      </c>
      <c r="F112" s="8" t="s">
        <v>2172</v>
      </c>
      <c r="G112" t="str">
        <f t="shared" si="9"/>
        <v>(4710,</v>
      </c>
      <c r="H112" t="str">
        <f t="shared" si="10"/>
        <v>583,</v>
      </c>
      <c r="I112" t="str">
        <f t="shared" si="11"/>
        <v>'MSFT',</v>
      </c>
      <c r="J112" t="str">
        <f t="shared" si="12"/>
        <v>136.7,</v>
      </c>
      <c r="K112" t="str">
        <f t="shared" si="13"/>
        <v>'BUY',</v>
      </c>
      <c r="L112" t="str">
        <f t="shared" si="14"/>
        <v>'2024-01-25 11:53:00'),</v>
      </c>
      <c r="M112" t="str">
        <f t="shared" si="15"/>
        <v>(4710,583,'MSFT',136.7,'BUY','2024-01-25 11:53:00'),</v>
      </c>
    </row>
    <row r="113" spans="1:13" x14ac:dyDescent="0.2">
      <c r="A113">
        <v>5751</v>
      </c>
      <c r="B113">
        <v>764</v>
      </c>
      <c r="C113" t="s">
        <v>1066</v>
      </c>
      <c r="D113" t="s">
        <v>1177</v>
      </c>
      <c r="E113" t="s">
        <v>1062</v>
      </c>
      <c r="F113" s="8" t="s">
        <v>2173</v>
      </c>
      <c r="G113" t="str">
        <f t="shared" si="9"/>
        <v>(5751,</v>
      </c>
      <c r="H113" t="str">
        <f t="shared" si="10"/>
        <v>764,</v>
      </c>
      <c r="I113" t="str">
        <f t="shared" si="11"/>
        <v>'AMZN',</v>
      </c>
      <c r="J113" t="str">
        <f t="shared" si="12"/>
        <v>498.11,</v>
      </c>
      <c r="K113" t="str">
        <f t="shared" si="13"/>
        <v>'SELL',</v>
      </c>
      <c r="L113" t="str">
        <f t="shared" si="14"/>
        <v>'2024-01-04 22:23:00'),</v>
      </c>
      <c r="M113" t="str">
        <f t="shared" si="15"/>
        <v>(5751,764,'AMZN',498.11,'SELL','2024-01-04 22:23:00'),</v>
      </c>
    </row>
    <row r="114" spans="1:13" x14ac:dyDescent="0.2">
      <c r="A114">
        <v>4669</v>
      </c>
      <c r="B114">
        <v>271</v>
      </c>
      <c r="C114" t="s">
        <v>1069</v>
      </c>
      <c r="D114" t="s">
        <v>1178</v>
      </c>
      <c r="E114" t="s">
        <v>1062</v>
      </c>
      <c r="F114" s="8" t="s">
        <v>2174</v>
      </c>
      <c r="G114" t="str">
        <f t="shared" si="9"/>
        <v>(4669,</v>
      </c>
      <c r="H114" t="str">
        <f t="shared" si="10"/>
        <v>271,</v>
      </c>
      <c r="I114" t="str">
        <f t="shared" si="11"/>
        <v>'MSFT',</v>
      </c>
      <c r="J114" t="str">
        <f t="shared" si="12"/>
        <v>631.48,</v>
      </c>
      <c r="K114" t="str">
        <f t="shared" si="13"/>
        <v>'SELL',</v>
      </c>
      <c r="L114" t="str">
        <f t="shared" si="14"/>
        <v>'2024-01-24 06:58:00'),</v>
      </c>
      <c r="M114" t="str">
        <f t="shared" si="15"/>
        <v>(4669,271,'MSFT',631.48,'SELL','2024-01-24 06:58:00'),</v>
      </c>
    </row>
    <row r="115" spans="1:13" x14ac:dyDescent="0.2">
      <c r="A115">
        <v>4710</v>
      </c>
      <c r="B115">
        <v>367</v>
      </c>
      <c r="C115" t="s">
        <v>1063</v>
      </c>
      <c r="D115" t="s">
        <v>1179</v>
      </c>
      <c r="E115" t="s">
        <v>1068</v>
      </c>
      <c r="F115" s="8" t="s">
        <v>2175</v>
      </c>
      <c r="G115" t="str">
        <f t="shared" si="9"/>
        <v>(4710,</v>
      </c>
      <c r="H115" t="str">
        <f t="shared" si="10"/>
        <v>367,</v>
      </c>
      <c r="I115" t="str">
        <f t="shared" si="11"/>
        <v>'META',</v>
      </c>
      <c r="J115" t="str">
        <f t="shared" si="12"/>
        <v>670.42,</v>
      </c>
      <c r="K115" t="str">
        <f t="shared" si="13"/>
        <v>'BUY',</v>
      </c>
      <c r="L115" t="str">
        <f t="shared" si="14"/>
        <v>'2024-04-11 19:01:00'),</v>
      </c>
      <c r="M115" t="str">
        <f t="shared" si="15"/>
        <v>(4710,367,'META',670.42,'BUY','2024-04-11 19:01:00'),</v>
      </c>
    </row>
    <row r="116" spans="1:13" x14ac:dyDescent="0.2">
      <c r="A116">
        <v>5705</v>
      </c>
      <c r="B116">
        <v>919</v>
      </c>
      <c r="C116" t="s">
        <v>1060</v>
      </c>
      <c r="D116" t="s">
        <v>1180</v>
      </c>
      <c r="E116" t="s">
        <v>1062</v>
      </c>
      <c r="F116" s="8" t="s">
        <v>2176</v>
      </c>
      <c r="G116" t="str">
        <f t="shared" si="9"/>
        <v>(5705,</v>
      </c>
      <c r="H116" t="str">
        <f t="shared" si="10"/>
        <v>919,</v>
      </c>
      <c r="I116" t="str">
        <f t="shared" si="11"/>
        <v>'TSLA',</v>
      </c>
      <c r="J116" t="str">
        <f t="shared" si="12"/>
        <v>626.57,</v>
      </c>
      <c r="K116" t="str">
        <f t="shared" si="13"/>
        <v>'SELL',</v>
      </c>
      <c r="L116" t="str">
        <f t="shared" si="14"/>
        <v>'2024-05-10 12:50:00'),</v>
      </c>
      <c r="M116" t="str">
        <f t="shared" si="15"/>
        <v>(5705,919,'TSLA',626.57,'SELL','2024-05-10 12:50:00'),</v>
      </c>
    </row>
    <row r="117" spans="1:13" x14ac:dyDescent="0.2">
      <c r="A117">
        <v>9094</v>
      </c>
      <c r="B117">
        <v>643</v>
      </c>
      <c r="C117" t="s">
        <v>1060</v>
      </c>
      <c r="D117" t="s">
        <v>1181</v>
      </c>
      <c r="E117" t="s">
        <v>1068</v>
      </c>
      <c r="F117" s="8" t="s">
        <v>2177</v>
      </c>
      <c r="G117" t="str">
        <f t="shared" si="9"/>
        <v>(9094,</v>
      </c>
      <c r="H117" t="str">
        <f t="shared" si="10"/>
        <v>643,</v>
      </c>
      <c r="I117" t="str">
        <f t="shared" si="11"/>
        <v>'TSLA',</v>
      </c>
      <c r="J117" t="str">
        <f t="shared" si="12"/>
        <v>625.11,</v>
      </c>
      <c r="K117" t="str">
        <f t="shared" si="13"/>
        <v>'BUY',</v>
      </c>
      <c r="L117" t="str">
        <f t="shared" si="14"/>
        <v>'2024-05-04 01:58:00'),</v>
      </c>
      <c r="M117" t="str">
        <f t="shared" si="15"/>
        <v>(9094,643,'TSLA',625.11,'BUY','2024-05-04 01:58:00'),</v>
      </c>
    </row>
    <row r="118" spans="1:13" x14ac:dyDescent="0.2">
      <c r="A118">
        <v>4168</v>
      </c>
      <c r="B118">
        <v>266</v>
      </c>
      <c r="C118" t="s">
        <v>1069</v>
      </c>
      <c r="D118" t="s">
        <v>1182</v>
      </c>
      <c r="E118" t="s">
        <v>1068</v>
      </c>
      <c r="F118" s="8" t="s">
        <v>2178</v>
      </c>
      <c r="G118" t="str">
        <f t="shared" si="9"/>
        <v>(4168,</v>
      </c>
      <c r="H118" t="str">
        <f t="shared" si="10"/>
        <v>266,</v>
      </c>
      <c r="I118" t="str">
        <f t="shared" si="11"/>
        <v>'MSFT',</v>
      </c>
      <c r="J118" t="str">
        <f t="shared" si="12"/>
        <v>375.4,</v>
      </c>
      <c r="K118" t="str">
        <f t="shared" si="13"/>
        <v>'BUY',</v>
      </c>
      <c r="L118" t="str">
        <f t="shared" si="14"/>
        <v>'2024-03-21 18:38:00'),</v>
      </c>
      <c r="M118" t="str">
        <f t="shared" si="15"/>
        <v>(4168,266,'MSFT',375.4,'BUY','2024-03-21 18:38:00'),</v>
      </c>
    </row>
    <row r="119" spans="1:13" x14ac:dyDescent="0.2">
      <c r="A119">
        <v>7531</v>
      </c>
      <c r="B119">
        <v>877</v>
      </c>
      <c r="C119" t="s">
        <v>1063</v>
      </c>
      <c r="D119" t="s">
        <v>1183</v>
      </c>
      <c r="E119" t="s">
        <v>1062</v>
      </c>
      <c r="F119" s="8" t="s">
        <v>2179</v>
      </c>
      <c r="G119" t="str">
        <f t="shared" si="9"/>
        <v>(7531,</v>
      </c>
      <c r="H119" t="str">
        <f t="shared" si="10"/>
        <v>877,</v>
      </c>
      <c r="I119" t="str">
        <f t="shared" si="11"/>
        <v>'META',</v>
      </c>
      <c r="J119" t="str">
        <f t="shared" si="12"/>
        <v>189.75,</v>
      </c>
      <c r="K119" t="str">
        <f t="shared" si="13"/>
        <v>'SELL',</v>
      </c>
      <c r="L119" t="str">
        <f t="shared" si="14"/>
        <v>'2024-01-07 09:25:00'),</v>
      </c>
      <c r="M119" t="str">
        <f t="shared" si="15"/>
        <v>(7531,877,'META',189.75,'SELL','2024-01-07 09:25:00'),</v>
      </c>
    </row>
    <row r="120" spans="1:13" x14ac:dyDescent="0.2">
      <c r="A120">
        <v>4669</v>
      </c>
      <c r="B120">
        <v>552</v>
      </c>
      <c r="C120" t="s">
        <v>1063</v>
      </c>
      <c r="D120" t="s">
        <v>1184</v>
      </c>
      <c r="E120" t="s">
        <v>1062</v>
      </c>
      <c r="F120" s="8" t="s">
        <v>2180</v>
      </c>
      <c r="G120" t="str">
        <f t="shared" si="9"/>
        <v>(4669,</v>
      </c>
      <c r="H120" t="str">
        <f t="shared" si="10"/>
        <v>552,</v>
      </c>
      <c r="I120" t="str">
        <f t="shared" si="11"/>
        <v>'META',</v>
      </c>
      <c r="J120" t="str">
        <f t="shared" si="12"/>
        <v>502.55,</v>
      </c>
      <c r="K120" t="str">
        <f t="shared" si="13"/>
        <v>'SELL',</v>
      </c>
      <c r="L120" t="str">
        <f t="shared" si="14"/>
        <v>'2024-02-13 06:20:00'),</v>
      </c>
      <c r="M120" t="str">
        <f t="shared" si="15"/>
        <v>(4669,552,'META',502.55,'SELL','2024-02-13 06:20:00'),</v>
      </c>
    </row>
    <row r="121" spans="1:13" x14ac:dyDescent="0.2">
      <c r="A121">
        <v>5297</v>
      </c>
      <c r="B121">
        <v>703</v>
      </c>
      <c r="C121" t="s">
        <v>1063</v>
      </c>
      <c r="D121" t="s">
        <v>1185</v>
      </c>
      <c r="E121" t="s">
        <v>1062</v>
      </c>
      <c r="F121" s="8" t="s">
        <v>2181</v>
      </c>
      <c r="G121" t="str">
        <f t="shared" si="9"/>
        <v>(5297,</v>
      </c>
      <c r="H121" t="str">
        <f t="shared" si="10"/>
        <v>703,</v>
      </c>
      <c r="I121" t="str">
        <f t="shared" si="11"/>
        <v>'META',</v>
      </c>
      <c r="J121" t="str">
        <f t="shared" si="12"/>
        <v>218.38,</v>
      </c>
      <c r="K121" t="str">
        <f t="shared" si="13"/>
        <v>'SELL',</v>
      </c>
      <c r="L121" t="str">
        <f t="shared" si="14"/>
        <v>'2024-02-02 06:21:00'),</v>
      </c>
      <c r="M121" t="str">
        <f t="shared" si="15"/>
        <v>(5297,703,'META',218.38,'SELL','2024-02-02 06:21:00'),</v>
      </c>
    </row>
    <row r="122" spans="1:13" x14ac:dyDescent="0.2">
      <c r="A122">
        <v>7938</v>
      </c>
      <c r="B122">
        <v>578</v>
      </c>
      <c r="C122" t="s">
        <v>1066</v>
      </c>
      <c r="D122" t="s">
        <v>1186</v>
      </c>
      <c r="E122" t="s">
        <v>1062</v>
      </c>
      <c r="F122" s="8" t="s">
        <v>2182</v>
      </c>
      <c r="G122" t="str">
        <f t="shared" si="9"/>
        <v>(7938,</v>
      </c>
      <c r="H122" t="str">
        <f t="shared" si="10"/>
        <v>578,</v>
      </c>
      <c r="I122" t="str">
        <f t="shared" si="11"/>
        <v>'AMZN',</v>
      </c>
      <c r="J122" t="str">
        <f t="shared" si="12"/>
        <v>938.28,</v>
      </c>
      <c r="K122" t="str">
        <f t="shared" si="13"/>
        <v>'SELL',</v>
      </c>
      <c r="L122" t="str">
        <f t="shared" si="14"/>
        <v>'2024-02-29 03:25:00'),</v>
      </c>
      <c r="M122" t="str">
        <f t="shared" si="15"/>
        <v>(7938,578,'AMZN',938.28,'SELL','2024-02-29 03:25:00'),</v>
      </c>
    </row>
    <row r="123" spans="1:13" x14ac:dyDescent="0.2">
      <c r="A123">
        <v>4669</v>
      </c>
      <c r="B123">
        <v>142</v>
      </c>
      <c r="C123" t="s">
        <v>1066</v>
      </c>
      <c r="D123" t="s">
        <v>1187</v>
      </c>
      <c r="E123" t="s">
        <v>1062</v>
      </c>
      <c r="F123" s="8" t="s">
        <v>2183</v>
      </c>
      <c r="G123" t="str">
        <f t="shared" si="9"/>
        <v>(4669,</v>
      </c>
      <c r="H123" t="str">
        <f t="shared" si="10"/>
        <v>142,</v>
      </c>
      <c r="I123" t="str">
        <f t="shared" si="11"/>
        <v>'AMZN',</v>
      </c>
      <c r="J123" t="str">
        <f t="shared" si="12"/>
        <v>263.05,</v>
      </c>
      <c r="K123" t="str">
        <f t="shared" si="13"/>
        <v>'SELL',</v>
      </c>
      <c r="L123" t="str">
        <f t="shared" si="14"/>
        <v>'2024-04-12 01:14:00'),</v>
      </c>
      <c r="M123" t="str">
        <f t="shared" si="15"/>
        <v>(4669,142,'AMZN',263.05,'SELL','2024-04-12 01:14:00'),</v>
      </c>
    </row>
    <row r="124" spans="1:13" x14ac:dyDescent="0.2">
      <c r="A124">
        <v>9094</v>
      </c>
      <c r="B124">
        <v>939</v>
      </c>
      <c r="C124" t="s">
        <v>1063</v>
      </c>
      <c r="D124" t="s">
        <v>1188</v>
      </c>
      <c r="E124" t="s">
        <v>1068</v>
      </c>
      <c r="F124" s="8" t="s">
        <v>2184</v>
      </c>
      <c r="G124" t="str">
        <f t="shared" si="9"/>
        <v>(9094,</v>
      </c>
      <c r="H124" t="str">
        <f t="shared" si="10"/>
        <v>939,</v>
      </c>
      <c r="I124" t="str">
        <f t="shared" si="11"/>
        <v>'META',</v>
      </c>
      <c r="J124" t="str">
        <f t="shared" si="12"/>
        <v>996.61,</v>
      </c>
      <c r="K124" t="str">
        <f t="shared" si="13"/>
        <v>'BUY',</v>
      </c>
      <c r="L124" t="str">
        <f t="shared" si="14"/>
        <v>'2024-01-12 23:03:00'),</v>
      </c>
      <c r="M124" t="str">
        <f t="shared" si="15"/>
        <v>(9094,939,'META',996.61,'BUY','2024-01-12 23:03:00'),</v>
      </c>
    </row>
    <row r="125" spans="1:13" x14ac:dyDescent="0.2">
      <c r="A125">
        <v>2941</v>
      </c>
      <c r="B125">
        <v>530</v>
      </c>
      <c r="C125" t="s">
        <v>1060</v>
      </c>
      <c r="D125" t="s">
        <v>1189</v>
      </c>
      <c r="E125" t="s">
        <v>1062</v>
      </c>
      <c r="F125" s="8" t="s">
        <v>2185</v>
      </c>
      <c r="G125" t="str">
        <f t="shared" si="9"/>
        <v>(2941,</v>
      </c>
      <c r="H125" t="str">
        <f t="shared" si="10"/>
        <v>530,</v>
      </c>
      <c r="I125" t="str">
        <f t="shared" si="11"/>
        <v>'TSLA',</v>
      </c>
      <c r="J125" t="str">
        <f t="shared" si="12"/>
        <v>444.84,</v>
      </c>
      <c r="K125" t="str">
        <f t="shared" si="13"/>
        <v>'SELL',</v>
      </c>
      <c r="L125" t="str">
        <f t="shared" si="14"/>
        <v>'2024-03-23 21:04:00'),</v>
      </c>
      <c r="M125" t="str">
        <f t="shared" si="15"/>
        <v>(2941,530,'TSLA',444.84,'SELL','2024-03-23 21:04:00'),</v>
      </c>
    </row>
    <row r="126" spans="1:13" x14ac:dyDescent="0.2">
      <c r="A126">
        <v>9952</v>
      </c>
      <c r="B126">
        <v>288</v>
      </c>
      <c r="C126" t="s">
        <v>1063</v>
      </c>
      <c r="D126" t="s">
        <v>1190</v>
      </c>
      <c r="E126" t="s">
        <v>1062</v>
      </c>
      <c r="F126" s="8" t="s">
        <v>2186</v>
      </c>
      <c r="G126" t="str">
        <f t="shared" si="9"/>
        <v>(9952,</v>
      </c>
      <c r="H126" t="str">
        <f t="shared" si="10"/>
        <v>288,</v>
      </c>
      <c r="I126" t="str">
        <f t="shared" si="11"/>
        <v>'META',</v>
      </c>
      <c r="J126" t="str">
        <f t="shared" si="12"/>
        <v>465.57,</v>
      </c>
      <c r="K126" t="str">
        <f t="shared" si="13"/>
        <v>'SELL',</v>
      </c>
      <c r="L126" t="str">
        <f t="shared" si="14"/>
        <v>'2024-02-16 08:29:00'),</v>
      </c>
      <c r="M126" t="str">
        <f t="shared" si="15"/>
        <v>(9952,288,'META',465.57,'SELL','2024-02-16 08:29:00'),</v>
      </c>
    </row>
    <row r="127" spans="1:13" x14ac:dyDescent="0.2">
      <c r="A127">
        <v>9094</v>
      </c>
      <c r="B127">
        <v>101</v>
      </c>
      <c r="C127" t="s">
        <v>1069</v>
      </c>
      <c r="D127" t="s">
        <v>1191</v>
      </c>
      <c r="E127" t="s">
        <v>1068</v>
      </c>
      <c r="F127" s="8" t="s">
        <v>2187</v>
      </c>
      <c r="G127" t="str">
        <f t="shared" si="9"/>
        <v>(9094,</v>
      </c>
      <c r="H127" t="str">
        <f t="shared" si="10"/>
        <v>101,</v>
      </c>
      <c r="I127" t="str">
        <f t="shared" si="11"/>
        <v>'MSFT',</v>
      </c>
      <c r="J127" t="str">
        <f t="shared" si="12"/>
        <v>452.94,</v>
      </c>
      <c r="K127" t="str">
        <f t="shared" si="13"/>
        <v>'BUY',</v>
      </c>
      <c r="L127" t="str">
        <f t="shared" si="14"/>
        <v>'2024-01-02 09:59:00'),</v>
      </c>
      <c r="M127" t="str">
        <f t="shared" si="15"/>
        <v>(9094,101,'MSFT',452.94,'BUY','2024-01-02 09:59:00'),</v>
      </c>
    </row>
    <row r="128" spans="1:13" x14ac:dyDescent="0.2">
      <c r="A128">
        <v>4669</v>
      </c>
      <c r="B128">
        <v>674</v>
      </c>
      <c r="C128" t="s">
        <v>1069</v>
      </c>
      <c r="D128" t="s">
        <v>1192</v>
      </c>
      <c r="E128" t="s">
        <v>1062</v>
      </c>
      <c r="F128" s="8" t="s">
        <v>2188</v>
      </c>
      <c r="G128" t="str">
        <f t="shared" si="9"/>
        <v>(4669,</v>
      </c>
      <c r="H128" t="str">
        <f t="shared" si="10"/>
        <v>674,</v>
      </c>
      <c r="I128" t="str">
        <f t="shared" si="11"/>
        <v>'MSFT',</v>
      </c>
      <c r="J128" t="str">
        <f t="shared" si="12"/>
        <v>313.47,</v>
      </c>
      <c r="K128" t="str">
        <f t="shared" si="13"/>
        <v>'SELL',</v>
      </c>
      <c r="L128" t="str">
        <f t="shared" si="14"/>
        <v>'2024-05-26 20:20:00'),</v>
      </c>
      <c r="M128" t="str">
        <f t="shared" si="15"/>
        <v>(4669,674,'MSFT',313.47,'SELL','2024-05-26 20:20:00'),</v>
      </c>
    </row>
    <row r="129" spans="1:13" x14ac:dyDescent="0.2">
      <c r="A129">
        <v>4168</v>
      </c>
      <c r="B129">
        <v>604</v>
      </c>
      <c r="C129" t="s">
        <v>1060</v>
      </c>
      <c r="D129" t="s">
        <v>1193</v>
      </c>
      <c r="E129" t="s">
        <v>1062</v>
      </c>
      <c r="F129" s="8" t="s">
        <v>2189</v>
      </c>
      <c r="G129" t="str">
        <f t="shared" si="9"/>
        <v>(4168,</v>
      </c>
      <c r="H129" t="str">
        <f t="shared" si="10"/>
        <v>604,</v>
      </c>
      <c r="I129" t="str">
        <f t="shared" si="11"/>
        <v>'TSLA',</v>
      </c>
      <c r="J129" t="str">
        <f t="shared" si="12"/>
        <v>577.52,</v>
      </c>
      <c r="K129" t="str">
        <f t="shared" si="13"/>
        <v>'SELL',</v>
      </c>
      <c r="L129" t="str">
        <f t="shared" si="14"/>
        <v>'2024-05-04 17:40:00'),</v>
      </c>
      <c r="M129" t="str">
        <f t="shared" si="15"/>
        <v>(4168,604,'TSLA',577.52,'SELL','2024-05-04 17:40:00'),</v>
      </c>
    </row>
    <row r="130" spans="1:13" x14ac:dyDescent="0.2">
      <c r="A130">
        <v>2941</v>
      </c>
      <c r="B130">
        <v>899</v>
      </c>
      <c r="C130" t="s">
        <v>1066</v>
      </c>
      <c r="D130" t="s">
        <v>1194</v>
      </c>
      <c r="E130" t="s">
        <v>1068</v>
      </c>
      <c r="F130" s="8" t="s">
        <v>2190</v>
      </c>
      <c r="G130" t="str">
        <f t="shared" si="9"/>
        <v>(2941,</v>
      </c>
      <c r="H130" t="str">
        <f t="shared" si="10"/>
        <v>899,</v>
      </c>
      <c r="I130" t="str">
        <f t="shared" si="11"/>
        <v>'AMZN',</v>
      </c>
      <c r="J130" t="str">
        <f t="shared" si="12"/>
        <v>548.51,</v>
      </c>
      <c r="K130" t="str">
        <f t="shared" si="13"/>
        <v>'BUY',</v>
      </c>
      <c r="L130" t="str">
        <f t="shared" si="14"/>
        <v>'2024-04-15 15:52:00'),</v>
      </c>
      <c r="M130" t="str">
        <f t="shared" si="15"/>
        <v>(2941,899,'AMZN',548.51,'BUY','2024-04-15 15:52:00'),</v>
      </c>
    </row>
    <row r="131" spans="1:13" x14ac:dyDescent="0.2">
      <c r="A131">
        <v>7922</v>
      </c>
      <c r="B131">
        <v>274</v>
      </c>
      <c r="C131" t="s">
        <v>1063</v>
      </c>
      <c r="D131" t="s">
        <v>1195</v>
      </c>
      <c r="E131" t="s">
        <v>1068</v>
      </c>
      <c r="F131" s="8" t="s">
        <v>2191</v>
      </c>
      <c r="G131" t="str">
        <f t="shared" ref="G131:G194" si="16">"("&amp;A131&amp;","</f>
        <v>(7922,</v>
      </c>
      <c r="H131" t="str">
        <f t="shared" ref="H131:H194" si="17">B131&amp;","</f>
        <v>274,</v>
      </c>
      <c r="I131" t="str">
        <f t="shared" ref="I131:I194" si="18">"'"&amp;C131&amp;"',"</f>
        <v>'META',</v>
      </c>
      <c r="J131" t="str">
        <f t="shared" ref="J131:J194" si="19">D131&amp;","</f>
        <v>796.81,</v>
      </c>
      <c r="K131" t="str">
        <f t="shared" ref="K131:K194" si="20">"'"&amp;E131&amp;"',"</f>
        <v>'BUY',</v>
      </c>
      <c r="L131" t="str">
        <f t="shared" ref="L131:L194" si="21">"'"&amp;F131&amp;"'),"</f>
        <v>'2024-04-26 04:36:00'),</v>
      </c>
      <c r="M131" t="str">
        <f t="shared" ref="M131:M194" si="22">G131&amp;H131&amp;I131&amp;J131&amp;K131&amp;L131</f>
        <v>(7922,274,'META',796.81,'BUY','2024-04-26 04:36:00'),</v>
      </c>
    </row>
    <row r="132" spans="1:13" x14ac:dyDescent="0.2">
      <c r="A132">
        <v>1691</v>
      </c>
      <c r="B132">
        <v>701</v>
      </c>
      <c r="C132" t="s">
        <v>1060</v>
      </c>
      <c r="D132" t="s">
        <v>1196</v>
      </c>
      <c r="E132" t="s">
        <v>1068</v>
      </c>
      <c r="F132" s="8" t="s">
        <v>2192</v>
      </c>
      <c r="G132" t="str">
        <f t="shared" si="16"/>
        <v>(1691,</v>
      </c>
      <c r="H132" t="str">
        <f t="shared" si="17"/>
        <v>701,</v>
      </c>
      <c r="I132" t="str">
        <f t="shared" si="18"/>
        <v>'TSLA',</v>
      </c>
      <c r="J132" t="str">
        <f t="shared" si="19"/>
        <v>342.53,</v>
      </c>
      <c r="K132" t="str">
        <f t="shared" si="20"/>
        <v>'BUY',</v>
      </c>
      <c r="L132" t="str">
        <f t="shared" si="21"/>
        <v>'2024-04-07 06:36:00'),</v>
      </c>
      <c r="M132" t="str">
        <f t="shared" si="22"/>
        <v>(1691,701,'TSLA',342.53,'BUY','2024-04-07 06:36:00'),</v>
      </c>
    </row>
    <row r="133" spans="1:13" x14ac:dyDescent="0.2">
      <c r="A133">
        <v>4669</v>
      </c>
      <c r="B133">
        <v>950</v>
      </c>
      <c r="C133" t="s">
        <v>1063</v>
      </c>
      <c r="D133" t="s">
        <v>1197</v>
      </c>
      <c r="E133" t="s">
        <v>1062</v>
      </c>
      <c r="F133" s="8" t="s">
        <v>2193</v>
      </c>
      <c r="G133" t="str">
        <f t="shared" si="16"/>
        <v>(4669,</v>
      </c>
      <c r="H133" t="str">
        <f t="shared" si="17"/>
        <v>950,</v>
      </c>
      <c r="I133" t="str">
        <f t="shared" si="18"/>
        <v>'META',</v>
      </c>
      <c r="J133" t="str">
        <f t="shared" si="19"/>
        <v>696.91,</v>
      </c>
      <c r="K133" t="str">
        <f t="shared" si="20"/>
        <v>'SELL',</v>
      </c>
      <c r="L133" t="str">
        <f t="shared" si="21"/>
        <v>'2024-05-25 09:04:00'),</v>
      </c>
      <c r="M133" t="str">
        <f t="shared" si="22"/>
        <v>(4669,950,'META',696.91,'SELL','2024-05-25 09:04:00'),</v>
      </c>
    </row>
    <row r="134" spans="1:13" x14ac:dyDescent="0.2">
      <c r="A134">
        <v>5297</v>
      </c>
      <c r="B134">
        <v>791</v>
      </c>
      <c r="C134" t="s">
        <v>1066</v>
      </c>
      <c r="D134" t="s">
        <v>1198</v>
      </c>
      <c r="E134" t="s">
        <v>1062</v>
      </c>
      <c r="F134" s="8" t="s">
        <v>2194</v>
      </c>
      <c r="G134" t="str">
        <f t="shared" si="16"/>
        <v>(5297,</v>
      </c>
      <c r="H134" t="str">
        <f t="shared" si="17"/>
        <v>791,</v>
      </c>
      <c r="I134" t="str">
        <f t="shared" si="18"/>
        <v>'AMZN',</v>
      </c>
      <c r="J134" t="str">
        <f t="shared" si="19"/>
        <v>676.84,</v>
      </c>
      <c r="K134" t="str">
        <f t="shared" si="20"/>
        <v>'SELL',</v>
      </c>
      <c r="L134" t="str">
        <f t="shared" si="21"/>
        <v>'2024-01-22 05:58:00'),</v>
      </c>
      <c r="M134" t="str">
        <f t="shared" si="22"/>
        <v>(5297,791,'AMZN',676.84,'SELL','2024-01-22 05:58:00'),</v>
      </c>
    </row>
    <row r="135" spans="1:13" x14ac:dyDescent="0.2">
      <c r="A135">
        <v>7531</v>
      </c>
      <c r="B135">
        <v>980</v>
      </c>
      <c r="C135" t="s">
        <v>1069</v>
      </c>
      <c r="D135" t="s">
        <v>1199</v>
      </c>
      <c r="E135" t="s">
        <v>1062</v>
      </c>
      <c r="F135" s="8" t="s">
        <v>2195</v>
      </c>
      <c r="G135" t="str">
        <f t="shared" si="16"/>
        <v>(7531,</v>
      </c>
      <c r="H135" t="str">
        <f t="shared" si="17"/>
        <v>980,</v>
      </c>
      <c r="I135" t="str">
        <f t="shared" si="18"/>
        <v>'MSFT',</v>
      </c>
      <c r="J135" t="str">
        <f t="shared" si="19"/>
        <v>993.11,</v>
      </c>
      <c r="K135" t="str">
        <f t="shared" si="20"/>
        <v>'SELL',</v>
      </c>
      <c r="L135" t="str">
        <f t="shared" si="21"/>
        <v>'2024-04-20 15:36:00'),</v>
      </c>
      <c r="M135" t="str">
        <f t="shared" si="22"/>
        <v>(7531,980,'MSFT',993.11,'SELL','2024-04-20 15:36:00'),</v>
      </c>
    </row>
    <row r="136" spans="1:13" x14ac:dyDescent="0.2">
      <c r="A136">
        <v>2941</v>
      </c>
      <c r="B136">
        <v>636</v>
      </c>
      <c r="C136" t="s">
        <v>1069</v>
      </c>
      <c r="D136" t="s">
        <v>1200</v>
      </c>
      <c r="E136" t="s">
        <v>1068</v>
      </c>
      <c r="F136" s="8" t="s">
        <v>2196</v>
      </c>
      <c r="G136" t="str">
        <f t="shared" si="16"/>
        <v>(2941,</v>
      </c>
      <c r="H136" t="str">
        <f t="shared" si="17"/>
        <v>636,</v>
      </c>
      <c r="I136" t="str">
        <f t="shared" si="18"/>
        <v>'MSFT',</v>
      </c>
      <c r="J136" t="str">
        <f t="shared" si="19"/>
        <v>298.98,</v>
      </c>
      <c r="K136" t="str">
        <f t="shared" si="20"/>
        <v>'BUY',</v>
      </c>
      <c r="L136" t="str">
        <f t="shared" si="21"/>
        <v>'2024-02-12 18:07:00'),</v>
      </c>
      <c r="M136" t="str">
        <f t="shared" si="22"/>
        <v>(2941,636,'MSFT',298.98,'BUY','2024-02-12 18:07:00'),</v>
      </c>
    </row>
    <row r="137" spans="1:13" x14ac:dyDescent="0.2">
      <c r="A137">
        <v>5751</v>
      </c>
      <c r="B137">
        <v>79</v>
      </c>
      <c r="C137" t="s">
        <v>1066</v>
      </c>
      <c r="D137" t="s">
        <v>1201</v>
      </c>
      <c r="E137" t="s">
        <v>1068</v>
      </c>
      <c r="F137" s="8" t="s">
        <v>2197</v>
      </c>
      <c r="G137" t="str">
        <f t="shared" si="16"/>
        <v>(5751,</v>
      </c>
      <c r="H137" t="str">
        <f t="shared" si="17"/>
        <v>79,</v>
      </c>
      <c r="I137" t="str">
        <f t="shared" si="18"/>
        <v>'AMZN',</v>
      </c>
      <c r="J137" t="str">
        <f t="shared" si="19"/>
        <v>834.42,</v>
      </c>
      <c r="K137" t="str">
        <f t="shared" si="20"/>
        <v>'BUY',</v>
      </c>
      <c r="L137" t="str">
        <f t="shared" si="21"/>
        <v>'2024-05-29 05:34:00'),</v>
      </c>
      <c r="M137" t="str">
        <f t="shared" si="22"/>
        <v>(5751,79,'AMZN',834.42,'BUY','2024-05-29 05:34:00'),</v>
      </c>
    </row>
    <row r="138" spans="1:13" x14ac:dyDescent="0.2">
      <c r="A138">
        <v>6298</v>
      </c>
      <c r="B138">
        <v>283</v>
      </c>
      <c r="C138" t="s">
        <v>1066</v>
      </c>
      <c r="D138" t="s">
        <v>1202</v>
      </c>
      <c r="E138" t="s">
        <v>1068</v>
      </c>
      <c r="F138" s="8" t="s">
        <v>2198</v>
      </c>
      <c r="G138" t="str">
        <f t="shared" si="16"/>
        <v>(6298,</v>
      </c>
      <c r="H138" t="str">
        <f t="shared" si="17"/>
        <v>283,</v>
      </c>
      <c r="I138" t="str">
        <f t="shared" si="18"/>
        <v>'AMZN',</v>
      </c>
      <c r="J138" t="str">
        <f t="shared" si="19"/>
        <v>124.17,</v>
      </c>
      <c r="K138" t="str">
        <f t="shared" si="20"/>
        <v>'BUY',</v>
      </c>
      <c r="L138" t="str">
        <f t="shared" si="21"/>
        <v>'2024-03-07 14:06:00'),</v>
      </c>
      <c r="M138" t="str">
        <f t="shared" si="22"/>
        <v>(6298,283,'AMZN',124.17,'BUY','2024-03-07 14:06:00'),</v>
      </c>
    </row>
    <row r="139" spans="1:13" x14ac:dyDescent="0.2">
      <c r="A139">
        <v>7531</v>
      </c>
      <c r="B139">
        <v>753</v>
      </c>
      <c r="C139" t="s">
        <v>1060</v>
      </c>
      <c r="D139" t="s">
        <v>1203</v>
      </c>
      <c r="E139" t="s">
        <v>1068</v>
      </c>
      <c r="F139" s="8" t="s">
        <v>2199</v>
      </c>
      <c r="G139" t="str">
        <f t="shared" si="16"/>
        <v>(7531,</v>
      </c>
      <c r="H139" t="str">
        <f t="shared" si="17"/>
        <v>753,</v>
      </c>
      <c r="I139" t="str">
        <f t="shared" si="18"/>
        <v>'TSLA',</v>
      </c>
      <c r="J139" t="str">
        <f t="shared" si="19"/>
        <v>430.28,</v>
      </c>
      <c r="K139" t="str">
        <f t="shared" si="20"/>
        <v>'BUY',</v>
      </c>
      <c r="L139" t="str">
        <f t="shared" si="21"/>
        <v>'2024-01-12 01:05:00'),</v>
      </c>
      <c r="M139" t="str">
        <f t="shared" si="22"/>
        <v>(7531,753,'TSLA',430.28,'BUY','2024-01-12 01:05:00'),</v>
      </c>
    </row>
    <row r="140" spans="1:13" x14ac:dyDescent="0.2">
      <c r="A140">
        <v>4669</v>
      </c>
      <c r="B140">
        <v>47</v>
      </c>
      <c r="C140" t="s">
        <v>1066</v>
      </c>
      <c r="D140" t="s">
        <v>1204</v>
      </c>
      <c r="E140" t="s">
        <v>1068</v>
      </c>
      <c r="F140" s="8" t="s">
        <v>2200</v>
      </c>
      <c r="G140" t="str">
        <f t="shared" si="16"/>
        <v>(4669,</v>
      </c>
      <c r="H140" t="str">
        <f t="shared" si="17"/>
        <v>47,</v>
      </c>
      <c r="I140" t="str">
        <f t="shared" si="18"/>
        <v>'AMZN',</v>
      </c>
      <c r="J140" t="str">
        <f t="shared" si="19"/>
        <v>614.26,</v>
      </c>
      <c r="K140" t="str">
        <f t="shared" si="20"/>
        <v>'BUY',</v>
      </c>
      <c r="L140" t="str">
        <f t="shared" si="21"/>
        <v>'2024-02-13 03:45:00'),</v>
      </c>
      <c r="M140" t="str">
        <f t="shared" si="22"/>
        <v>(4669,47,'AMZN',614.26,'BUY','2024-02-13 03:45:00'),</v>
      </c>
    </row>
    <row r="141" spans="1:13" x14ac:dyDescent="0.2">
      <c r="A141">
        <v>2941</v>
      </c>
      <c r="B141">
        <v>303</v>
      </c>
      <c r="C141" t="s">
        <v>1063</v>
      </c>
      <c r="D141" t="s">
        <v>1205</v>
      </c>
      <c r="E141" t="s">
        <v>1062</v>
      </c>
      <c r="F141" s="8" t="s">
        <v>2201</v>
      </c>
      <c r="G141" t="str">
        <f t="shared" si="16"/>
        <v>(2941,</v>
      </c>
      <c r="H141" t="str">
        <f t="shared" si="17"/>
        <v>303,</v>
      </c>
      <c r="I141" t="str">
        <f t="shared" si="18"/>
        <v>'META',</v>
      </c>
      <c r="J141" t="str">
        <f t="shared" si="19"/>
        <v>346.49,</v>
      </c>
      <c r="K141" t="str">
        <f t="shared" si="20"/>
        <v>'SELL',</v>
      </c>
      <c r="L141" t="str">
        <f t="shared" si="21"/>
        <v>'2024-04-08 16:45:00'),</v>
      </c>
      <c r="M141" t="str">
        <f t="shared" si="22"/>
        <v>(2941,303,'META',346.49,'SELL','2024-04-08 16:45:00'),</v>
      </c>
    </row>
    <row r="142" spans="1:13" x14ac:dyDescent="0.2">
      <c r="A142">
        <v>4710</v>
      </c>
      <c r="B142">
        <v>556</v>
      </c>
      <c r="C142" t="s">
        <v>1060</v>
      </c>
      <c r="D142" t="s">
        <v>1206</v>
      </c>
      <c r="E142" t="s">
        <v>1062</v>
      </c>
      <c r="F142" s="8" t="s">
        <v>2202</v>
      </c>
      <c r="G142" t="str">
        <f t="shared" si="16"/>
        <v>(4710,</v>
      </c>
      <c r="H142" t="str">
        <f t="shared" si="17"/>
        <v>556,</v>
      </c>
      <c r="I142" t="str">
        <f t="shared" si="18"/>
        <v>'TSLA',</v>
      </c>
      <c r="J142" t="str">
        <f t="shared" si="19"/>
        <v>586.97,</v>
      </c>
      <c r="K142" t="str">
        <f t="shared" si="20"/>
        <v>'SELL',</v>
      </c>
      <c r="L142" t="str">
        <f t="shared" si="21"/>
        <v>'2024-02-16 13:21:00'),</v>
      </c>
      <c r="M142" t="str">
        <f t="shared" si="22"/>
        <v>(4710,556,'TSLA',586.97,'SELL','2024-02-16 13:21:00'),</v>
      </c>
    </row>
    <row r="143" spans="1:13" x14ac:dyDescent="0.2">
      <c r="A143">
        <v>4669</v>
      </c>
      <c r="B143">
        <v>959</v>
      </c>
      <c r="C143" t="s">
        <v>1060</v>
      </c>
      <c r="D143" t="s">
        <v>1207</v>
      </c>
      <c r="E143" t="s">
        <v>1062</v>
      </c>
      <c r="F143" s="8" t="s">
        <v>2203</v>
      </c>
      <c r="G143" t="str">
        <f t="shared" si="16"/>
        <v>(4669,</v>
      </c>
      <c r="H143" t="str">
        <f t="shared" si="17"/>
        <v>959,</v>
      </c>
      <c r="I143" t="str">
        <f t="shared" si="18"/>
        <v>'TSLA',</v>
      </c>
      <c r="J143" t="str">
        <f t="shared" si="19"/>
        <v>980.54,</v>
      </c>
      <c r="K143" t="str">
        <f t="shared" si="20"/>
        <v>'SELL',</v>
      </c>
      <c r="L143" t="str">
        <f t="shared" si="21"/>
        <v>'2024-02-09 02:05:00'),</v>
      </c>
      <c r="M143" t="str">
        <f t="shared" si="22"/>
        <v>(4669,959,'TSLA',980.54,'SELL','2024-02-09 02:05:00'),</v>
      </c>
    </row>
    <row r="144" spans="1:13" x14ac:dyDescent="0.2">
      <c r="A144">
        <v>2941</v>
      </c>
      <c r="B144">
        <v>673</v>
      </c>
      <c r="C144" t="s">
        <v>1069</v>
      </c>
      <c r="D144" t="s">
        <v>1208</v>
      </c>
      <c r="E144" t="s">
        <v>1062</v>
      </c>
      <c r="F144" s="8" t="s">
        <v>2204</v>
      </c>
      <c r="G144" t="str">
        <f t="shared" si="16"/>
        <v>(2941,</v>
      </c>
      <c r="H144" t="str">
        <f t="shared" si="17"/>
        <v>673,</v>
      </c>
      <c r="I144" t="str">
        <f t="shared" si="18"/>
        <v>'MSFT',</v>
      </c>
      <c r="J144" t="str">
        <f t="shared" si="19"/>
        <v>292.62,</v>
      </c>
      <c r="K144" t="str">
        <f t="shared" si="20"/>
        <v>'SELL',</v>
      </c>
      <c r="L144" t="str">
        <f t="shared" si="21"/>
        <v>'2024-04-22 23:57:00'),</v>
      </c>
      <c r="M144" t="str">
        <f t="shared" si="22"/>
        <v>(2941,673,'MSFT',292.62,'SELL','2024-04-22 23:57:00'),</v>
      </c>
    </row>
    <row r="145" spans="1:13" x14ac:dyDescent="0.2">
      <c r="A145">
        <v>7922</v>
      </c>
      <c r="B145">
        <v>616</v>
      </c>
      <c r="C145" t="s">
        <v>1066</v>
      </c>
      <c r="D145" t="s">
        <v>1209</v>
      </c>
      <c r="E145" t="s">
        <v>1068</v>
      </c>
      <c r="F145" s="8" t="s">
        <v>2205</v>
      </c>
      <c r="G145" t="str">
        <f t="shared" si="16"/>
        <v>(7922,</v>
      </c>
      <c r="H145" t="str">
        <f t="shared" si="17"/>
        <v>616,</v>
      </c>
      <c r="I145" t="str">
        <f t="shared" si="18"/>
        <v>'AMZN',</v>
      </c>
      <c r="J145" t="str">
        <f t="shared" si="19"/>
        <v>177.14,</v>
      </c>
      <c r="K145" t="str">
        <f t="shared" si="20"/>
        <v>'BUY',</v>
      </c>
      <c r="L145" t="str">
        <f t="shared" si="21"/>
        <v>'2024-04-24 22:14:00'),</v>
      </c>
      <c r="M145" t="str">
        <f t="shared" si="22"/>
        <v>(7922,616,'AMZN',177.14,'BUY','2024-04-24 22:14:00'),</v>
      </c>
    </row>
    <row r="146" spans="1:13" x14ac:dyDescent="0.2">
      <c r="A146">
        <v>7938</v>
      </c>
      <c r="B146">
        <v>186</v>
      </c>
      <c r="C146" t="s">
        <v>1063</v>
      </c>
      <c r="D146" t="s">
        <v>1210</v>
      </c>
      <c r="E146" t="s">
        <v>1062</v>
      </c>
      <c r="F146" s="8" t="s">
        <v>2206</v>
      </c>
      <c r="G146" t="str">
        <f t="shared" si="16"/>
        <v>(7938,</v>
      </c>
      <c r="H146" t="str">
        <f t="shared" si="17"/>
        <v>186,</v>
      </c>
      <c r="I146" t="str">
        <f t="shared" si="18"/>
        <v>'META',</v>
      </c>
      <c r="J146" t="str">
        <f t="shared" si="19"/>
        <v>802.31,</v>
      </c>
      <c r="K146" t="str">
        <f t="shared" si="20"/>
        <v>'SELL',</v>
      </c>
      <c r="L146" t="str">
        <f t="shared" si="21"/>
        <v>'2024-04-09 10:54:00'),</v>
      </c>
      <c r="M146" t="str">
        <f t="shared" si="22"/>
        <v>(7938,186,'META',802.31,'SELL','2024-04-09 10:54:00'),</v>
      </c>
    </row>
    <row r="147" spans="1:13" x14ac:dyDescent="0.2">
      <c r="A147">
        <v>2941</v>
      </c>
      <c r="B147">
        <v>239</v>
      </c>
      <c r="C147" t="s">
        <v>1060</v>
      </c>
      <c r="D147" t="s">
        <v>1211</v>
      </c>
      <c r="E147" t="s">
        <v>1062</v>
      </c>
      <c r="F147" s="8" t="s">
        <v>2207</v>
      </c>
      <c r="G147" t="str">
        <f t="shared" si="16"/>
        <v>(2941,</v>
      </c>
      <c r="H147" t="str">
        <f t="shared" si="17"/>
        <v>239,</v>
      </c>
      <c r="I147" t="str">
        <f t="shared" si="18"/>
        <v>'TSLA',</v>
      </c>
      <c r="J147" t="str">
        <f t="shared" si="19"/>
        <v>980.46,</v>
      </c>
      <c r="K147" t="str">
        <f t="shared" si="20"/>
        <v>'SELL',</v>
      </c>
      <c r="L147" t="str">
        <f t="shared" si="21"/>
        <v>'2024-04-26 11:54:00'),</v>
      </c>
      <c r="M147" t="str">
        <f t="shared" si="22"/>
        <v>(2941,239,'TSLA',980.46,'SELL','2024-04-26 11:54:00'),</v>
      </c>
    </row>
    <row r="148" spans="1:13" x14ac:dyDescent="0.2">
      <c r="A148">
        <v>6298</v>
      </c>
      <c r="B148">
        <v>106</v>
      </c>
      <c r="C148" t="s">
        <v>1060</v>
      </c>
      <c r="D148" t="s">
        <v>1212</v>
      </c>
      <c r="E148" t="s">
        <v>1062</v>
      </c>
      <c r="F148" s="8" t="s">
        <v>2208</v>
      </c>
      <c r="G148" t="str">
        <f t="shared" si="16"/>
        <v>(6298,</v>
      </c>
      <c r="H148" t="str">
        <f t="shared" si="17"/>
        <v>106,</v>
      </c>
      <c r="I148" t="str">
        <f t="shared" si="18"/>
        <v>'TSLA',</v>
      </c>
      <c r="J148" t="str">
        <f t="shared" si="19"/>
        <v>724.47,</v>
      </c>
      <c r="K148" t="str">
        <f t="shared" si="20"/>
        <v>'SELL',</v>
      </c>
      <c r="L148" t="str">
        <f t="shared" si="21"/>
        <v>'2024-01-25 13:38:00'),</v>
      </c>
      <c r="M148" t="str">
        <f t="shared" si="22"/>
        <v>(6298,106,'TSLA',724.47,'SELL','2024-01-25 13:38:00'),</v>
      </c>
    </row>
    <row r="149" spans="1:13" x14ac:dyDescent="0.2">
      <c r="A149">
        <v>7531</v>
      </c>
      <c r="B149">
        <v>920</v>
      </c>
      <c r="C149" t="s">
        <v>1069</v>
      </c>
      <c r="D149" t="s">
        <v>1213</v>
      </c>
      <c r="E149" t="s">
        <v>1068</v>
      </c>
      <c r="F149" s="8" t="s">
        <v>2209</v>
      </c>
      <c r="G149" t="str">
        <f t="shared" si="16"/>
        <v>(7531,</v>
      </c>
      <c r="H149" t="str">
        <f t="shared" si="17"/>
        <v>920,</v>
      </c>
      <c r="I149" t="str">
        <f t="shared" si="18"/>
        <v>'MSFT',</v>
      </c>
      <c r="J149" t="str">
        <f t="shared" si="19"/>
        <v>219.51,</v>
      </c>
      <c r="K149" t="str">
        <f t="shared" si="20"/>
        <v>'BUY',</v>
      </c>
      <c r="L149" t="str">
        <f t="shared" si="21"/>
        <v>'2024-03-27 20:45:00'),</v>
      </c>
      <c r="M149" t="str">
        <f t="shared" si="22"/>
        <v>(7531,920,'MSFT',219.51,'BUY','2024-03-27 20:45:00'),</v>
      </c>
    </row>
    <row r="150" spans="1:13" x14ac:dyDescent="0.2">
      <c r="A150">
        <v>5258</v>
      </c>
      <c r="B150">
        <v>167</v>
      </c>
      <c r="C150" t="s">
        <v>1063</v>
      </c>
      <c r="D150" t="s">
        <v>1214</v>
      </c>
      <c r="E150" t="s">
        <v>1062</v>
      </c>
      <c r="F150" s="8" t="s">
        <v>2210</v>
      </c>
      <c r="G150" t="str">
        <f t="shared" si="16"/>
        <v>(5258,</v>
      </c>
      <c r="H150" t="str">
        <f t="shared" si="17"/>
        <v>167,</v>
      </c>
      <c r="I150" t="str">
        <f t="shared" si="18"/>
        <v>'META',</v>
      </c>
      <c r="J150" t="str">
        <f t="shared" si="19"/>
        <v>814.61,</v>
      </c>
      <c r="K150" t="str">
        <f t="shared" si="20"/>
        <v>'SELL',</v>
      </c>
      <c r="L150" t="str">
        <f t="shared" si="21"/>
        <v>'2024-02-22 22:51:00'),</v>
      </c>
      <c r="M150" t="str">
        <f t="shared" si="22"/>
        <v>(5258,167,'META',814.61,'SELL','2024-02-22 22:51:00'),</v>
      </c>
    </row>
    <row r="151" spans="1:13" x14ac:dyDescent="0.2">
      <c r="A151">
        <v>7531</v>
      </c>
      <c r="B151">
        <v>589</v>
      </c>
      <c r="C151" t="s">
        <v>1066</v>
      </c>
      <c r="D151" t="s">
        <v>1215</v>
      </c>
      <c r="E151" t="s">
        <v>1068</v>
      </c>
      <c r="F151" s="8" t="s">
        <v>2211</v>
      </c>
      <c r="G151" t="str">
        <f t="shared" si="16"/>
        <v>(7531,</v>
      </c>
      <c r="H151" t="str">
        <f t="shared" si="17"/>
        <v>589,</v>
      </c>
      <c r="I151" t="str">
        <f t="shared" si="18"/>
        <v>'AMZN',</v>
      </c>
      <c r="J151" t="str">
        <f t="shared" si="19"/>
        <v>440.45,</v>
      </c>
      <c r="K151" t="str">
        <f t="shared" si="20"/>
        <v>'BUY',</v>
      </c>
      <c r="L151" t="str">
        <f t="shared" si="21"/>
        <v>'2024-03-10 10:56:00'),</v>
      </c>
      <c r="M151" t="str">
        <f t="shared" si="22"/>
        <v>(7531,589,'AMZN',440.45,'BUY','2024-03-10 10:56:00'),</v>
      </c>
    </row>
    <row r="152" spans="1:13" x14ac:dyDescent="0.2">
      <c r="A152">
        <v>5297</v>
      </c>
      <c r="B152">
        <v>349</v>
      </c>
      <c r="C152" t="s">
        <v>1066</v>
      </c>
      <c r="D152" t="s">
        <v>1216</v>
      </c>
      <c r="E152" t="s">
        <v>1062</v>
      </c>
      <c r="F152" s="8" t="s">
        <v>2212</v>
      </c>
      <c r="G152" t="str">
        <f t="shared" si="16"/>
        <v>(5297,</v>
      </c>
      <c r="H152" t="str">
        <f t="shared" si="17"/>
        <v>349,</v>
      </c>
      <c r="I152" t="str">
        <f t="shared" si="18"/>
        <v>'AMZN',</v>
      </c>
      <c r="J152" t="str">
        <f t="shared" si="19"/>
        <v>665.75,</v>
      </c>
      <c r="K152" t="str">
        <f t="shared" si="20"/>
        <v>'SELL',</v>
      </c>
      <c r="L152" t="str">
        <f t="shared" si="21"/>
        <v>'2024-03-11 16:14:00'),</v>
      </c>
      <c r="M152" t="str">
        <f t="shared" si="22"/>
        <v>(5297,349,'AMZN',665.75,'SELL','2024-03-11 16:14:00'),</v>
      </c>
    </row>
    <row r="153" spans="1:13" x14ac:dyDescent="0.2">
      <c r="A153">
        <v>9952</v>
      </c>
      <c r="B153">
        <v>941</v>
      </c>
      <c r="C153" t="s">
        <v>1060</v>
      </c>
      <c r="D153" t="s">
        <v>1217</v>
      </c>
      <c r="E153" t="s">
        <v>1062</v>
      </c>
      <c r="F153" s="8" t="s">
        <v>2213</v>
      </c>
      <c r="G153" t="str">
        <f t="shared" si="16"/>
        <v>(9952,</v>
      </c>
      <c r="H153" t="str">
        <f t="shared" si="17"/>
        <v>941,</v>
      </c>
      <c r="I153" t="str">
        <f t="shared" si="18"/>
        <v>'TSLA',</v>
      </c>
      <c r="J153" t="str">
        <f t="shared" si="19"/>
        <v>376.66,</v>
      </c>
      <c r="K153" t="str">
        <f t="shared" si="20"/>
        <v>'SELL',</v>
      </c>
      <c r="L153" t="str">
        <f t="shared" si="21"/>
        <v>'2024-01-01 13:23:00'),</v>
      </c>
      <c r="M153" t="str">
        <f t="shared" si="22"/>
        <v>(9952,941,'TSLA',376.66,'SELL','2024-01-01 13:23:00'),</v>
      </c>
    </row>
    <row r="154" spans="1:13" x14ac:dyDescent="0.2">
      <c r="A154">
        <v>7531</v>
      </c>
      <c r="B154">
        <v>326</v>
      </c>
      <c r="C154" t="s">
        <v>1066</v>
      </c>
      <c r="D154" t="s">
        <v>1218</v>
      </c>
      <c r="E154" t="s">
        <v>1062</v>
      </c>
      <c r="F154" s="8" t="s">
        <v>2214</v>
      </c>
      <c r="G154" t="str">
        <f t="shared" si="16"/>
        <v>(7531,</v>
      </c>
      <c r="H154" t="str">
        <f t="shared" si="17"/>
        <v>326,</v>
      </c>
      <c r="I154" t="str">
        <f t="shared" si="18"/>
        <v>'AMZN',</v>
      </c>
      <c r="J154" t="str">
        <f t="shared" si="19"/>
        <v>932.77,</v>
      </c>
      <c r="K154" t="str">
        <f t="shared" si="20"/>
        <v>'SELL',</v>
      </c>
      <c r="L154" t="str">
        <f t="shared" si="21"/>
        <v>'2024-04-18 16:28:00'),</v>
      </c>
      <c r="M154" t="str">
        <f t="shared" si="22"/>
        <v>(7531,326,'AMZN',932.77,'SELL','2024-04-18 16:28:00'),</v>
      </c>
    </row>
    <row r="155" spans="1:13" x14ac:dyDescent="0.2">
      <c r="A155">
        <v>7531</v>
      </c>
      <c r="B155">
        <v>14</v>
      </c>
      <c r="C155" t="s">
        <v>1066</v>
      </c>
      <c r="D155" t="s">
        <v>1219</v>
      </c>
      <c r="E155" t="s">
        <v>1068</v>
      </c>
      <c r="F155" s="8" t="s">
        <v>2215</v>
      </c>
      <c r="G155" t="str">
        <f t="shared" si="16"/>
        <v>(7531,</v>
      </c>
      <c r="H155" t="str">
        <f t="shared" si="17"/>
        <v>14,</v>
      </c>
      <c r="I155" t="str">
        <f t="shared" si="18"/>
        <v>'AMZN',</v>
      </c>
      <c r="J155" t="str">
        <f t="shared" si="19"/>
        <v>881.23,</v>
      </c>
      <c r="K155" t="str">
        <f t="shared" si="20"/>
        <v>'BUY',</v>
      </c>
      <c r="L155" t="str">
        <f t="shared" si="21"/>
        <v>'2024-05-06 23:14:00'),</v>
      </c>
      <c r="M155" t="str">
        <f t="shared" si="22"/>
        <v>(7531,14,'AMZN',881.23,'BUY','2024-05-06 23:14:00'),</v>
      </c>
    </row>
    <row r="156" spans="1:13" x14ac:dyDescent="0.2">
      <c r="A156">
        <v>5258</v>
      </c>
      <c r="B156">
        <v>140</v>
      </c>
      <c r="C156" t="s">
        <v>1069</v>
      </c>
      <c r="D156" t="s">
        <v>1220</v>
      </c>
      <c r="E156" t="s">
        <v>1068</v>
      </c>
      <c r="F156" s="8" t="s">
        <v>2216</v>
      </c>
      <c r="G156" t="str">
        <f t="shared" si="16"/>
        <v>(5258,</v>
      </c>
      <c r="H156" t="str">
        <f t="shared" si="17"/>
        <v>140,</v>
      </c>
      <c r="I156" t="str">
        <f t="shared" si="18"/>
        <v>'MSFT',</v>
      </c>
      <c r="J156" t="str">
        <f t="shared" si="19"/>
        <v>434.05,</v>
      </c>
      <c r="K156" t="str">
        <f t="shared" si="20"/>
        <v>'BUY',</v>
      </c>
      <c r="L156" t="str">
        <f t="shared" si="21"/>
        <v>'2024-02-03 13:42:00'),</v>
      </c>
      <c r="M156" t="str">
        <f t="shared" si="22"/>
        <v>(5258,140,'MSFT',434.05,'BUY','2024-02-03 13:42:00'),</v>
      </c>
    </row>
    <row r="157" spans="1:13" x14ac:dyDescent="0.2">
      <c r="A157">
        <v>6298</v>
      </c>
      <c r="B157">
        <v>371</v>
      </c>
      <c r="C157" t="s">
        <v>1069</v>
      </c>
      <c r="D157" t="s">
        <v>1221</v>
      </c>
      <c r="E157" t="s">
        <v>1068</v>
      </c>
      <c r="F157" s="8" t="s">
        <v>2217</v>
      </c>
      <c r="G157" t="str">
        <f t="shared" si="16"/>
        <v>(6298,</v>
      </c>
      <c r="H157" t="str">
        <f t="shared" si="17"/>
        <v>371,</v>
      </c>
      <c r="I157" t="str">
        <f t="shared" si="18"/>
        <v>'MSFT',</v>
      </c>
      <c r="J157" t="str">
        <f t="shared" si="19"/>
        <v>902.37,</v>
      </c>
      <c r="K157" t="str">
        <f t="shared" si="20"/>
        <v>'BUY',</v>
      </c>
      <c r="L157" t="str">
        <f t="shared" si="21"/>
        <v>'2024-03-17 22:19:00'),</v>
      </c>
      <c r="M157" t="str">
        <f t="shared" si="22"/>
        <v>(6298,371,'MSFT',902.37,'BUY','2024-03-17 22:19:00'),</v>
      </c>
    </row>
    <row r="158" spans="1:13" x14ac:dyDescent="0.2">
      <c r="A158">
        <v>5751</v>
      </c>
      <c r="B158">
        <v>499</v>
      </c>
      <c r="C158" t="s">
        <v>1060</v>
      </c>
      <c r="D158" t="s">
        <v>1222</v>
      </c>
      <c r="E158" t="s">
        <v>1062</v>
      </c>
      <c r="F158" s="8" t="s">
        <v>2218</v>
      </c>
      <c r="G158" t="str">
        <f t="shared" si="16"/>
        <v>(5751,</v>
      </c>
      <c r="H158" t="str">
        <f t="shared" si="17"/>
        <v>499,</v>
      </c>
      <c r="I158" t="str">
        <f t="shared" si="18"/>
        <v>'TSLA',</v>
      </c>
      <c r="J158" t="str">
        <f t="shared" si="19"/>
        <v>492.34,</v>
      </c>
      <c r="K158" t="str">
        <f t="shared" si="20"/>
        <v>'SELL',</v>
      </c>
      <c r="L158" t="str">
        <f t="shared" si="21"/>
        <v>'2024-02-03 18:22:00'),</v>
      </c>
      <c r="M158" t="str">
        <f t="shared" si="22"/>
        <v>(5751,499,'TSLA',492.34,'SELL','2024-02-03 18:22:00'),</v>
      </c>
    </row>
    <row r="159" spans="1:13" x14ac:dyDescent="0.2">
      <c r="A159">
        <v>4710</v>
      </c>
      <c r="B159">
        <v>894</v>
      </c>
      <c r="C159" t="s">
        <v>1069</v>
      </c>
      <c r="D159" t="s">
        <v>1223</v>
      </c>
      <c r="E159" t="s">
        <v>1068</v>
      </c>
      <c r="F159" s="8" t="s">
        <v>2219</v>
      </c>
      <c r="G159" t="str">
        <f t="shared" si="16"/>
        <v>(4710,</v>
      </c>
      <c r="H159" t="str">
        <f t="shared" si="17"/>
        <v>894,</v>
      </c>
      <c r="I159" t="str">
        <f t="shared" si="18"/>
        <v>'MSFT',</v>
      </c>
      <c r="J159" t="str">
        <f t="shared" si="19"/>
        <v>819.25,</v>
      </c>
      <c r="K159" t="str">
        <f t="shared" si="20"/>
        <v>'BUY',</v>
      </c>
      <c r="L159" t="str">
        <f t="shared" si="21"/>
        <v>'2024-03-16 22:18:00'),</v>
      </c>
      <c r="M159" t="str">
        <f t="shared" si="22"/>
        <v>(4710,894,'MSFT',819.25,'BUY','2024-03-16 22:18:00'),</v>
      </c>
    </row>
    <row r="160" spans="1:13" x14ac:dyDescent="0.2">
      <c r="A160">
        <v>4710</v>
      </c>
      <c r="B160">
        <v>382</v>
      </c>
      <c r="C160" t="s">
        <v>1069</v>
      </c>
      <c r="D160" t="s">
        <v>1224</v>
      </c>
      <c r="E160" t="s">
        <v>1062</v>
      </c>
      <c r="F160" s="8" t="s">
        <v>2220</v>
      </c>
      <c r="G160" t="str">
        <f t="shared" si="16"/>
        <v>(4710,</v>
      </c>
      <c r="H160" t="str">
        <f t="shared" si="17"/>
        <v>382,</v>
      </c>
      <c r="I160" t="str">
        <f t="shared" si="18"/>
        <v>'MSFT',</v>
      </c>
      <c r="J160" t="str">
        <f t="shared" si="19"/>
        <v>425.98,</v>
      </c>
      <c r="K160" t="str">
        <f t="shared" si="20"/>
        <v>'SELL',</v>
      </c>
      <c r="L160" t="str">
        <f t="shared" si="21"/>
        <v>'2024-05-15 12:29:00'),</v>
      </c>
      <c r="M160" t="str">
        <f t="shared" si="22"/>
        <v>(4710,382,'MSFT',425.98,'SELL','2024-05-15 12:29:00'),</v>
      </c>
    </row>
    <row r="161" spans="1:13" x14ac:dyDescent="0.2">
      <c r="A161">
        <v>9952</v>
      </c>
      <c r="B161">
        <v>220</v>
      </c>
      <c r="C161" t="s">
        <v>1066</v>
      </c>
      <c r="D161" t="s">
        <v>1225</v>
      </c>
      <c r="E161" t="s">
        <v>1068</v>
      </c>
      <c r="F161" s="8" t="s">
        <v>2221</v>
      </c>
      <c r="G161" t="str">
        <f t="shared" si="16"/>
        <v>(9952,</v>
      </c>
      <c r="H161" t="str">
        <f t="shared" si="17"/>
        <v>220,</v>
      </c>
      <c r="I161" t="str">
        <f t="shared" si="18"/>
        <v>'AMZN',</v>
      </c>
      <c r="J161" t="str">
        <f t="shared" si="19"/>
        <v>739.76,</v>
      </c>
      <c r="K161" t="str">
        <f t="shared" si="20"/>
        <v>'BUY',</v>
      </c>
      <c r="L161" t="str">
        <f t="shared" si="21"/>
        <v>'2024-01-09 05:28:00'),</v>
      </c>
      <c r="M161" t="str">
        <f t="shared" si="22"/>
        <v>(9952,220,'AMZN',739.76,'BUY','2024-01-09 05:28:00'),</v>
      </c>
    </row>
    <row r="162" spans="1:13" x14ac:dyDescent="0.2">
      <c r="A162">
        <v>4669</v>
      </c>
      <c r="B162">
        <v>253</v>
      </c>
      <c r="C162" t="s">
        <v>1069</v>
      </c>
      <c r="D162" t="s">
        <v>1226</v>
      </c>
      <c r="E162" t="s">
        <v>1068</v>
      </c>
      <c r="F162" s="8" t="s">
        <v>2222</v>
      </c>
      <c r="G162" t="str">
        <f t="shared" si="16"/>
        <v>(4669,</v>
      </c>
      <c r="H162" t="str">
        <f t="shared" si="17"/>
        <v>253,</v>
      </c>
      <c r="I162" t="str">
        <f t="shared" si="18"/>
        <v>'MSFT',</v>
      </c>
      <c r="J162" t="str">
        <f t="shared" si="19"/>
        <v>410.57,</v>
      </c>
      <c r="K162" t="str">
        <f t="shared" si="20"/>
        <v>'BUY',</v>
      </c>
      <c r="L162" t="str">
        <f t="shared" si="21"/>
        <v>'2024-04-07 03:17:00'),</v>
      </c>
      <c r="M162" t="str">
        <f t="shared" si="22"/>
        <v>(4669,253,'MSFT',410.57,'BUY','2024-04-07 03:17:00'),</v>
      </c>
    </row>
    <row r="163" spans="1:13" x14ac:dyDescent="0.2">
      <c r="A163">
        <v>9094</v>
      </c>
      <c r="B163">
        <v>623</v>
      </c>
      <c r="C163" t="s">
        <v>1060</v>
      </c>
      <c r="D163" t="s">
        <v>1227</v>
      </c>
      <c r="E163" t="s">
        <v>1068</v>
      </c>
      <c r="F163" s="8" t="s">
        <v>2223</v>
      </c>
      <c r="G163" t="str">
        <f t="shared" si="16"/>
        <v>(9094,</v>
      </c>
      <c r="H163" t="str">
        <f t="shared" si="17"/>
        <v>623,</v>
      </c>
      <c r="I163" t="str">
        <f t="shared" si="18"/>
        <v>'TSLA',</v>
      </c>
      <c r="J163" t="str">
        <f t="shared" si="19"/>
        <v>226.48,</v>
      </c>
      <c r="K163" t="str">
        <f t="shared" si="20"/>
        <v>'BUY',</v>
      </c>
      <c r="L163" t="str">
        <f t="shared" si="21"/>
        <v>'2024-05-10 05:20:00'),</v>
      </c>
      <c r="M163" t="str">
        <f t="shared" si="22"/>
        <v>(9094,623,'TSLA',226.48,'BUY','2024-05-10 05:20:00'),</v>
      </c>
    </row>
    <row r="164" spans="1:13" x14ac:dyDescent="0.2">
      <c r="A164">
        <v>7922</v>
      </c>
      <c r="B164">
        <v>644</v>
      </c>
      <c r="C164" t="s">
        <v>1066</v>
      </c>
      <c r="D164" t="s">
        <v>1228</v>
      </c>
      <c r="E164" t="s">
        <v>1068</v>
      </c>
      <c r="F164" s="8" t="s">
        <v>2224</v>
      </c>
      <c r="G164" t="str">
        <f t="shared" si="16"/>
        <v>(7922,</v>
      </c>
      <c r="H164" t="str">
        <f t="shared" si="17"/>
        <v>644,</v>
      </c>
      <c r="I164" t="str">
        <f t="shared" si="18"/>
        <v>'AMZN',</v>
      </c>
      <c r="J164" t="str">
        <f t="shared" si="19"/>
        <v>347.58,</v>
      </c>
      <c r="K164" t="str">
        <f t="shared" si="20"/>
        <v>'BUY',</v>
      </c>
      <c r="L164" t="str">
        <f t="shared" si="21"/>
        <v>'2024-02-23 00:48:00'),</v>
      </c>
      <c r="M164" t="str">
        <f t="shared" si="22"/>
        <v>(7922,644,'AMZN',347.58,'BUY','2024-02-23 00:48:00'),</v>
      </c>
    </row>
    <row r="165" spans="1:13" x14ac:dyDescent="0.2">
      <c r="A165">
        <v>5297</v>
      </c>
      <c r="B165">
        <v>504</v>
      </c>
      <c r="C165" t="s">
        <v>1060</v>
      </c>
      <c r="D165" t="s">
        <v>1229</v>
      </c>
      <c r="E165" t="s">
        <v>1068</v>
      </c>
      <c r="F165" s="8" t="s">
        <v>2225</v>
      </c>
      <c r="G165" t="str">
        <f t="shared" si="16"/>
        <v>(5297,</v>
      </c>
      <c r="H165" t="str">
        <f t="shared" si="17"/>
        <v>504,</v>
      </c>
      <c r="I165" t="str">
        <f t="shared" si="18"/>
        <v>'TSLA',</v>
      </c>
      <c r="J165" t="str">
        <f t="shared" si="19"/>
        <v>939.01,</v>
      </c>
      <c r="K165" t="str">
        <f t="shared" si="20"/>
        <v>'BUY',</v>
      </c>
      <c r="L165" t="str">
        <f t="shared" si="21"/>
        <v>'2024-01-30 03:37:00'),</v>
      </c>
      <c r="M165" t="str">
        <f t="shared" si="22"/>
        <v>(5297,504,'TSLA',939.01,'BUY','2024-01-30 03:37:00'),</v>
      </c>
    </row>
    <row r="166" spans="1:13" x14ac:dyDescent="0.2">
      <c r="A166">
        <v>4168</v>
      </c>
      <c r="B166">
        <v>851</v>
      </c>
      <c r="C166" t="s">
        <v>1063</v>
      </c>
      <c r="D166" t="s">
        <v>1230</v>
      </c>
      <c r="E166" t="s">
        <v>1062</v>
      </c>
      <c r="F166" s="8" t="s">
        <v>2226</v>
      </c>
      <c r="G166" t="str">
        <f t="shared" si="16"/>
        <v>(4168,</v>
      </c>
      <c r="H166" t="str">
        <f t="shared" si="17"/>
        <v>851,</v>
      </c>
      <c r="I166" t="str">
        <f t="shared" si="18"/>
        <v>'META',</v>
      </c>
      <c r="J166" t="str">
        <f t="shared" si="19"/>
        <v>276.96,</v>
      </c>
      <c r="K166" t="str">
        <f t="shared" si="20"/>
        <v>'SELL',</v>
      </c>
      <c r="L166" t="str">
        <f t="shared" si="21"/>
        <v>'2024-05-22 13:00:00'),</v>
      </c>
      <c r="M166" t="str">
        <f t="shared" si="22"/>
        <v>(4168,851,'META',276.96,'SELL','2024-05-22 13:00:00'),</v>
      </c>
    </row>
    <row r="167" spans="1:13" x14ac:dyDescent="0.2">
      <c r="A167">
        <v>6298</v>
      </c>
      <c r="B167">
        <v>754</v>
      </c>
      <c r="C167" t="s">
        <v>1060</v>
      </c>
      <c r="D167" t="s">
        <v>1231</v>
      </c>
      <c r="E167" t="s">
        <v>1068</v>
      </c>
      <c r="F167" s="8" t="s">
        <v>2227</v>
      </c>
      <c r="G167" t="str">
        <f t="shared" si="16"/>
        <v>(6298,</v>
      </c>
      <c r="H167" t="str">
        <f t="shared" si="17"/>
        <v>754,</v>
      </c>
      <c r="I167" t="str">
        <f t="shared" si="18"/>
        <v>'TSLA',</v>
      </c>
      <c r="J167" t="str">
        <f t="shared" si="19"/>
        <v>982.6,</v>
      </c>
      <c r="K167" t="str">
        <f t="shared" si="20"/>
        <v>'BUY',</v>
      </c>
      <c r="L167" t="str">
        <f t="shared" si="21"/>
        <v>'2024-03-05 22:06:00'),</v>
      </c>
      <c r="M167" t="str">
        <f t="shared" si="22"/>
        <v>(6298,754,'TSLA',982.6,'BUY','2024-03-05 22:06:00'),</v>
      </c>
    </row>
    <row r="168" spans="1:13" x14ac:dyDescent="0.2">
      <c r="A168">
        <v>7531</v>
      </c>
      <c r="B168">
        <v>717</v>
      </c>
      <c r="C168" t="s">
        <v>1069</v>
      </c>
      <c r="D168" t="s">
        <v>1232</v>
      </c>
      <c r="E168" t="s">
        <v>1062</v>
      </c>
      <c r="F168" s="8" t="s">
        <v>2228</v>
      </c>
      <c r="G168" t="str">
        <f t="shared" si="16"/>
        <v>(7531,</v>
      </c>
      <c r="H168" t="str">
        <f t="shared" si="17"/>
        <v>717,</v>
      </c>
      <c r="I168" t="str">
        <f t="shared" si="18"/>
        <v>'MSFT',</v>
      </c>
      <c r="J168" t="str">
        <f t="shared" si="19"/>
        <v>945.07,</v>
      </c>
      <c r="K168" t="str">
        <f t="shared" si="20"/>
        <v>'SELL',</v>
      </c>
      <c r="L168" t="str">
        <f t="shared" si="21"/>
        <v>'2024-02-02 22:29:00'),</v>
      </c>
      <c r="M168" t="str">
        <f t="shared" si="22"/>
        <v>(7531,717,'MSFT',945.07,'SELL','2024-02-02 22:29:00'),</v>
      </c>
    </row>
    <row r="169" spans="1:13" x14ac:dyDescent="0.2">
      <c r="A169">
        <v>9952</v>
      </c>
      <c r="B169">
        <v>546</v>
      </c>
      <c r="C169" t="s">
        <v>1069</v>
      </c>
      <c r="D169" t="s">
        <v>1233</v>
      </c>
      <c r="E169" t="s">
        <v>1068</v>
      </c>
      <c r="F169" s="8" t="s">
        <v>2229</v>
      </c>
      <c r="G169" t="str">
        <f t="shared" si="16"/>
        <v>(9952,</v>
      </c>
      <c r="H169" t="str">
        <f t="shared" si="17"/>
        <v>546,</v>
      </c>
      <c r="I169" t="str">
        <f t="shared" si="18"/>
        <v>'MSFT',</v>
      </c>
      <c r="J169" t="str">
        <f t="shared" si="19"/>
        <v>694.91,</v>
      </c>
      <c r="K169" t="str">
        <f t="shared" si="20"/>
        <v>'BUY',</v>
      </c>
      <c r="L169" t="str">
        <f t="shared" si="21"/>
        <v>'2024-01-21 14:09:00'),</v>
      </c>
      <c r="M169" t="str">
        <f t="shared" si="22"/>
        <v>(9952,546,'MSFT',694.91,'BUY','2024-01-21 14:09:00'),</v>
      </c>
    </row>
    <row r="170" spans="1:13" x14ac:dyDescent="0.2">
      <c r="A170">
        <v>9094</v>
      </c>
      <c r="B170">
        <v>128</v>
      </c>
      <c r="C170" t="s">
        <v>1063</v>
      </c>
      <c r="D170" t="s">
        <v>1234</v>
      </c>
      <c r="E170" t="s">
        <v>1068</v>
      </c>
      <c r="F170" s="8" t="s">
        <v>2230</v>
      </c>
      <c r="G170" t="str">
        <f t="shared" si="16"/>
        <v>(9094,</v>
      </c>
      <c r="H170" t="str">
        <f t="shared" si="17"/>
        <v>128,</v>
      </c>
      <c r="I170" t="str">
        <f t="shared" si="18"/>
        <v>'META',</v>
      </c>
      <c r="J170" t="str">
        <f t="shared" si="19"/>
        <v>722.22,</v>
      </c>
      <c r="K170" t="str">
        <f t="shared" si="20"/>
        <v>'BUY',</v>
      </c>
      <c r="L170" t="str">
        <f t="shared" si="21"/>
        <v>'2024-05-16 09:07:00'),</v>
      </c>
      <c r="M170" t="str">
        <f t="shared" si="22"/>
        <v>(9094,128,'META',722.22,'BUY','2024-05-16 09:07:00'),</v>
      </c>
    </row>
    <row r="171" spans="1:13" x14ac:dyDescent="0.2">
      <c r="A171">
        <v>1691</v>
      </c>
      <c r="B171">
        <v>784</v>
      </c>
      <c r="C171" t="s">
        <v>1060</v>
      </c>
      <c r="D171" t="s">
        <v>1235</v>
      </c>
      <c r="E171" t="s">
        <v>1062</v>
      </c>
      <c r="F171" s="8" t="s">
        <v>2231</v>
      </c>
      <c r="G171" t="str">
        <f t="shared" si="16"/>
        <v>(1691,</v>
      </c>
      <c r="H171" t="str">
        <f t="shared" si="17"/>
        <v>784,</v>
      </c>
      <c r="I171" t="str">
        <f t="shared" si="18"/>
        <v>'TSLA',</v>
      </c>
      <c r="J171" t="str">
        <f t="shared" si="19"/>
        <v>639.67,</v>
      </c>
      <c r="K171" t="str">
        <f t="shared" si="20"/>
        <v>'SELL',</v>
      </c>
      <c r="L171" t="str">
        <f t="shared" si="21"/>
        <v>'2024-03-15 17:21:00'),</v>
      </c>
      <c r="M171" t="str">
        <f t="shared" si="22"/>
        <v>(1691,784,'TSLA',639.67,'SELL','2024-03-15 17:21:00'),</v>
      </c>
    </row>
    <row r="172" spans="1:13" x14ac:dyDescent="0.2">
      <c r="A172">
        <v>6298</v>
      </c>
      <c r="B172">
        <v>857</v>
      </c>
      <c r="C172" t="s">
        <v>1069</v>
      </c>
      <c r="D172" t="s">
        <v>1236</v>
      </c>
      <c r="E172" t="s">
        <v>1062</v>
      </c>
      <c r="F172" s="8" t="s">
        <v>2232</v>
      </c>
      <c r="G172" t="str">
        <f t="shared" si="16"/>
        <v>(6298,</v>
      </c>
      <c r="H172" t="str">
        <f t="shared" si="17"/>
        <v>857,</v>
      </c>
      <c r="I172" t="str">
        <f t="shared" si="18"/>
        <v>'MSFT',</v>
      </c>
      <c r="J172" t="str">
        <f t="shared" si="19"/>
        <v>221.54,</v>
      </c>
      <c r="K172" t="str">
        <f t="shared" si="20"/>
        <v>'SELL',</v>
      </c>
      <c r="L172" t="str">
        <f t="shared" si="21"/>
        <v>'2024-02-28 00:23:00'),</v>
      </c>
      <c r="M172" t="str">
        <f t="shared" si="22"/>
        <v>(6298,857,'MSFT',221.54,'SELL','2024-02-28 00:23:00'),</v>
      </c>
    </row>
    <row r="173" spans="1:13" x14ac:dyDescent="0.2">
      <c r="A173">
        <v>7938</v>
      </c>
      <c r="B173">
        <v>225</v>
      </c>
      <c r="C173" t="s">
        <v>1060</v>
      </c>
      <c r="D173" t="s">
        <v>1237</v>
      </c>
      <c r="E173" t="s">
        <v>1068</v>
      </c>
      <c r="F173" s="8" t="s">
        <v>2233</v>
      </c>
      <c r="G173" t="str">
        <f t="shared" si="16"/>
        <v>(7938,</v>
      </c>
      <c r="H173" t="str">
        <f t="shared" si="17"/>
        <v>225,</v>
      </c>
      <c r="I173" t="str">
        <f t="shared" si="18"/>
        <v>'TSLA',</v>
      </c>
      <c r="J173" t="str">
        <f t="shared" si="19"/>
        <v>601.72,</v>
      </c>
      <c r="K173" t="str">
        <f t="shared" si="20"/>
        <v>'BUY',</v>
      </c>
      <c r="L173" t="str">
        <f t="shared" si="21"/>
        <v>'2024-04-05 18:58:00'),</v>
      </c>
      <c r="M173" t="str">
        <f t="shared" si="22"/>
        <v>(7938,225,'TSLA',601.72,'BUY','2024-04-05 18:58:00'),</v>
      </c>
    </row>
    <row r="174" spans="1:13" x14ac:dyDescent="0.2">
      <c r="A174">
        <v>7531</v>
      </c>
      <c r="B174">
        <v>88</v>
      </c>
      <c r="C174" t="s">
        <v>1060</v>
      </c>
      <c r="D174" t="s">
        <v>1238</v>
      </c>
      <c r="E174" t="s">
        <v>1068</v>
      </c>
      <c r="F174" s="8" t="s">
        <v>2234</v>
      </c>
      <c r="G174" t="str">
        <f t="shared" si="16"/>
        <v>(7531,</v>
      </c>
      <c r="H174" t="str">
        <f t="shared" si="17"/>
        <v>88,</v>
      </c>
      <c r="I174" t="str">
        <f t="shared" si="18"/>
        <v>'TSLA',</v>
      </c>
      <c r="J174" t="str">
        <f t="shared" si="19"/>
        <v>488.62,</v>
      </c>
      <c r="K174" t="str">
        <f t="shared" si="20"/>
        <v>'BUY',</v>
      </c>
      <c r="L174" t="str">
        <f t="shared" si="21"/>
        <v>'2024-05-03 00:06:00'),</v>
      </c>
      <c r="M174" t="str">
        <f t="shared" si="22"/>
        <v>(7531,88,'TSLA',488.62,'BUY','2024-05-03 00:06:00'),</v>
      </c>
    </row>
    <row r="175" spans="1:13" x14ac:dyDescent="0.2">
      <c r="A175">
        <v>7922</v>
      </c>
      <c r="B175">
        <v>447</v>
      </c>
      <c r="C175" t="s">
        <v>1063</v>
      </c>
      <c r="D175" t="s">
        <v>1239</v>
      </c>
      <c r="E175" t="s">
        <v>1062</v>
      </c>
      <c r="F175" s="8" t="s">
        <v>2235</v>
      </c>
      <c r="G175" t="str">
        <f t="shared" si="16"/>
        <v>(7922,</v>
      </c>
      <c r="H175" t="str">
        <f t="shared" si="17"/>
        <v>447,</v>
      </c>
      <c r="I175" t="str">
        <f t="shared" si="18"/>
        <v>'META',</v>
      </c>
      <c r="J175" t="str">
        <f t="shared" si="19"/>
        <v>469.81,</v>
      </c>
      <c r="K175" t="str">
        <f t="shared" si="20"/>
        <v>'SELL',</v>
      </c>
      <c r="L175" t="str">
        <f t="shared" si="21"/>
        <v>'2024-02-06 14:08:00'),</v>
      </c>
      <c r="M175" t="str">
        <f t="shared" si="22"/>
        <v>(7922,447,'META',469.81,'SELL','2024-02-06 14:08:00'),</v>
      </c>
    </row>
    <row r="176" spans="1:13" x14ac:dyDescent="0.2">
      <c r="A176">
        <v>5705</v>
      </c>
      <c r="B176">
        <v>526</v>
      </c>
      <c r="C176" t="s">
        <v>1069</v>
      </c>
      <c r="D176" t="s">
        <v>1240</v>
      </c>
      <c r="E176" t="s">
        <v>1062</v>
      </c>
      <c r="F176" s="8" t="s">
        <v>2236</v>
      </c>
      <c r="G176" t="str">
        <f t="shared" si="16"/>
        <v>(5705,</v>
      </c>
      <c r="H176" t="str">
        <f t="shared" si="17"/>
        <v>526,</v>
      </c>
      <c r="I176" t="str">
        <f t="shared" si="18"/>
        <v>'MSFT',</v>
      </c>
      <c r="J176" t="str">
        <f t="shared" si="19"/>
        <v>516.06,</v>
      </c>
      <c r="K176" t="str">
        <f t="shared" si="20"/>
        <v>'SELL',</v>
      </c>
      <c r="L176" t="str">
        <f t="shared" si="21"/>
        <v>'2024-04-01 09:27:00'),</v>
      </c>
      <c r="M176" t="str">
        <f t="shared" si="22"/>
        <v>(5705,526,'MSFT',516.06,'SELL','2024-04-01 09:27:00'),</v>
      </c>
    </row>
    <row r="177" spans="1:13" x14ac:dyDescent="0.2">
      <c r="A177">
        <v>2941</v>
      </c>
      <c r="B177">
        <v>926</v>
      </c>
      <c r="C177" t="s">
        <v>1069</v>
      </c>
      <c r="D177" t="s">
        <v>1241</v>
      </c>
      <c r="E177" t="s">
        <v>1062</v>
      </c>
      <c r="F177" s="8" t="s">
        <v>2237</v>
      </c>
      <c r="G177" t="str">
        <f t="shared" si="16"/>
        <v>(2941,</v>
      </c>
      <c r="H177" t="str">
        <f t="shared" si="17"/>
        <v>926,</v>
      </c>
      <c r="I177" t="str">
        <f t="shared" si="18"/>
        <v>'MSFT',</v>
      </c>
      <c r="J177" t="str">
        <f t="shared" si="19"/>
        <v>839.64,</v>
      </c>
      <c r="K177" t="str">
        <f t="shared" si="20"/>
        <v>'SELL',</v>
      </c>
      <c r="L177" t="str">
        <f t="shared" si="21"/>
        <v>'2024-05-07 03:00:00'),</v>
      </c>
      <c r="M177" t="str">
        <f t="shared" si="22"/>
        <v>(2941,926,'MSFT',839.64,'SELL','2024-05-07 03:00:00'),</v>
      </c>
    </row>
    <row r="178" spans="1:13" x14ac:dyDescent="0.2">
      <c r="A178">
        <v>4669</v>
      </c>
      <c r="B178">
        <v>74</v>
      </c>
      <c r="C178" t="s">
        <v>1060</v>
      </c>
      <c r="D178" t="s">
        <v>1242</v>
      </c>
      <c r="E178" t="s">
        <v>1062</v>
      </c>
      <c r="F178" s="8" t="s">
        <v>2238</v>
      </c>
      <c r="G178" t="str">
        <f t="shared" si="16"/>
        <v>(4669,</v>
      </c>
      <c r="H178" t="str">
        <f t="shared" si="17"/>
        <v>74,</v>
      </c>
      <c r="I178" t="str">
        <f t="shared" si="18"/>
        <v>'TSLA',</v>
      </c>
      <c r="J178" t="str">
        <f t="shared" si="19"/>
        <v>517.17,</v>
      </c>
      <c r="K178" t="str">
        <f t="shared" si="20"/>
        <v>'SELL',</v>
      </c>
      <c r="L178" t="str">
        <f t="shared" si="21"/>
        <v>'2024-05-11 09:21:00'),</v>
      </c>
      <c r="M178" t="str">
        <f t="shared" si="22"/>
        <v>(4669,74,'TSLA',517.17,'SELL','2024-05-11 09:21:00'),</v>
      </c>
    </row>
    <row r="179" spans="1:13" x14ac:dyDescent="0.2">
      <c r="A179">
        <v>4710</v>
      </c>
      <c r="B179">
        <v>715</v>
      </c>
      <c r="C179" t="s">
        <v>1063</v>
      </c>
      <c r="D179" t="s">
        <v>1243</v>
      </c>
      <c r="E179" t="s">
        <v>1062</v>
      </c>
      <c r="F179" s="8" t="s">
        <v>2239</v>
      </c>
      <c r="G179" t="str">
        <f t="shared" si="16"/>
        <v>(4710,</v>
      </c>
      <c r="H179" t="str">
        <f t="shared" si="17"/>
        <v>715,</v>
      </c>
      <c r="I179" t="str">
        <f t="shared" si="18"/>
        <v>'META',</v>
      </c>
      <c r="J179" t="str">
        <f t="shared" si="19"/>
        <v>364.24,</v>
      </c>
      <c r="K179" t="str">
        <f t="shared" si="20"/>
        <v>'SELL',</v>
      </c>
      <c r="L179" t="str">
        <f t="shared" si="21"/>
        <v>'2024-02-04 23:47:00'),</v>
      </c>
      <c r="M179" t="str">
        <f t="shared" si="22"/>
        <v>(4710,715,'META',364.24,'SELL','2024-02-04 23:47:00'),</v>
      </c>
    </row>
    <row r="180" spans="1:13" x14ac:dyDescent="0.2">
      <c r="A180">
        <v>2941</v>
      </c>
      <c r="B180">
        <v>144</v>
      </c>
      <c r="C180" t="s">
        <v>1060</v>
      </c>
      <c r="D180" t="s">
        <v>1244</v>
      </c>
      <c r="E180" t="s">
        <v>1062</v>
      </c>
      <c r="F180" s="8" t="s">
        <v>2240</v>
      </c>
      <c r="G180" t="str">
        <f t="shared" si="16"/>
        <v>(2941,</v>
      </c>
      <c r="H180" t="str">
        <f t="shared" si="17"/>
        <v>144,</v>
      </c>
      <c r="I180" t="str">
        <f t="shared" si="18"/>
        <v>'TSLA',</v>
      </c>
      <c r="J180" t="str">
        <f t="shared" si="19"/>
        <v>363.05,</v>
      </c>
      <c r="K180" t="str">
        <f t="shared" si="20"/>
        <v>'SELL',</v>
      </c>
      <c r="L180" t="str">
        <f t="shared" si="21"/>
        <v>'2024-04-01 08:04:00'),</v>
      </c>
      <c r="M180" t="str">
        <f t="shared" si="22"/>
        <v>(2941,144,'TSLA',363.05,'SELL','2024-04-01 08:04:00'),</v>
      </c>
    </row>
    <row r="181" spans="1:13" x14ac:dyDescent="0.2">
      <c r="A181">
        <v>9094</v>
      </c>
      <c r="B181">
        <v>214</v>
      </c>
      <c r="C181" t="s">
        <v>1060</v>
      </c>
      <c r="D181" t="s">
        <v>1245</v>
      </c>
      <c r="E181" t="s">
        <v>1062</v>
      </c>
      <c r="F181" s="8" t="s">
        <v>2241</v>
      </c>
      <c r="G181" t="str">
        <f t="shared" si="16"/>
        <v>(9094,</v>
      </c>
      <c r="H181" t="str">
        <f t="shared" si="17"/>
        <v>214,</v>
      </c>
      <c r="I181" t="str">
        <f t="shared" si="18"/>
        <v>'TSLA',</v>
      </c>
      <c r="J181" t="str">
        <f t="shared" si="19"/>
        <v>555.15,</v>
      </c>
      <c r="K181" t="str">
        <f t="shared" si="20"/>
        <v>'SELL',</v>
      </c>
      <c r="L181" t="str">
        <f t="shared" si="21"/>
        <v>'2024-02-06 05:53:00'),</v>
      </c>
      <c r="M181" t="str">
        <f t="shared" si="22"/>
        <v>(9094,214,'TSLA',555.15,'SELL','2024-02-06 05:53:00'),</v>
      </c>
    </row>
    <row r="182" spans="1:13" x14ac:dyDescent="0.2">
      <c r="A182">
        <v>7938</v>
      </c>
      <c r="B182">
        <v>817</v>
      </c>
      <c r="C182" t="s">
        <v>1063</v>
      </c>
      <c r="D182" t="s">
        <v>1246</v>
      </c>
      <c r="E182" t="s">
        <v>1062</v>
      </c>
      <c r="F182" s="8" t="s">
        <v>2242</v>
      </c>
      <c r="G182" t="str">
        <f t="shared" si="16"/>
        <v>(7938,</v>
      </c>
      <c r="H182" t="str">
        <f t="shared" si="17"/>
        <v>817,</v>
      </c>
      <c r="I182" t="str">
        <f t="shared" si="18"/>
        <v>'META',</v>
      </c>
      <c r="J182" t="str">
        <f t="shared" si="19"/>
        <v>143.19,</v>
      </c>
      <c r="K182" t="str">
        <f t="shared" si="20"/>
        <v>'SELL',</v>
      </c>
      <c r="L182" t="str">
        <f t="shared" si="21"/>
        <v>'2024-01-06 15:44:00'),</v>
      </c>
      <c r="M182" t="str">
        <f t="shared" si="22"/>
        <v>(7938,817,'META',143.19,'SELL','2024-01-06 15:44:00'),</v>
      </c>
    </row>
    <row r="183" spans="1:13" x14ac:dyDescent="0.2">
      <c r="A183">
        <v>4168</v>
      </c>
      <c r="B183">
        <v>288</v>
      </c>
      <c r="C183" t="s">
        <v>1066</v>
      </c>
      <c r="D183" t="s">
        <v>1247</v>
      </c>
      <c r="E183" t="s">
        <v>1062</v>
      </c>
      <c r="F183" s="8" t="s">
        <v>2243</v>
      </c>
      <c r="G183" t="str">
        <f t="shared" si="16"/>
        <v>(4168,</v>
      </c>
      <c r="H183" t="str">
        <f t="shared" si="17"/>
        <v>288,</v>
      </c>
      <c r="I183" t="str">
        <f t="shared" si="18"/>
        <v>'AMZN',</v>
      </c>
      <c r="J183" t="str">
        <f t="shared" si="19"/>
        <v>650.05,</v>
      </c>
      <c r="K183" t="str">
        <f t="shared" si="20"/>
        <v>'SELL',</v>
      </c>
      <c r="L183" t="str">
        <f t="shared" si="21"/>
        <v>'2024-03-04 21:14:00'),</v>
      </c>
      <c r="M183" t="str">
        <f t="shared" si="22"/>
        <v>(4168,288,'AMZN',650.05,'SELL','2024-03-04 21:14:00'),</v>
      </c>
    </row>
    <row r="184" spans="1:13" x14ac:dyDescent="0.2">
      <c r="A184">
        <v>9952</v>
      </c>
      <c r="B184">
        <v>964</v>
      </c>
      <c r="C184" t="s">
        <v>1063</v>
      </c>
      <c r="D184" t="s">
        <v>1248</v>
      </c>
      <c r="E184" t="s">
        <v>1062</v>
      </c>
      <c r="F184" s="8" t="s">
        <v>2244</v>
      </c>
      <c r="G184" t="str">
        <f t="shared" si="16"/>
        <v>(9952,</v>
      </c>
      <c r="H184" t="str">
        <f t="shared" si="17"/>
        <v>964,</v>
      </c>
      <c r="I184" t="str">
        <f t="shared" si="18"/>
        <v>'META',</v>
      </c>
      <c r="J184" t="str">
        <f t="shared" si="19"/>
        <v>909.84,</v>
      </c>
      <c r="K184" t="str">
        <f t="shared" si="20"/>
        <v>'SELL',</v>
      </c>
      <c r="L184" t="str">
        <f t="shared" si="21"/>
        <v>'2024-03-27 13:38:00'),</v>
      </c>
      <c r="M184" t="str">
        <f t="shared" si="22"/>
        <v>(9952,964,'META',909.84,'SELL','2024-03-27 13:38:00'),</v>
      </c>
    </row>
    <row r="185" spans="1:13" x14ac:dyDescent="0.2">
      <c r="A185">
        <v>4710</v>
      </c>
      <c r="B185">
        <v>876</v>
      </c>
      <c r="C185" t="s">
        <v>1066</v>
      </c>
      <c r="D185" t="s">
        <v>1249</v>
      </c>
      <c r="E185" t="s">
        <v>1062</v>
      </c>
      <c r="F185" s="8" t="s">
        <v>2245</v>
      </c>
      <c r="G185" t="str">
        <f t="shared" si="16"/>
        <v>(4710,</v>
      </c>
      <c r="H185" t="str">
        <f t="shared" si="17"/>
        <v>876,</v>
      </c>
      <c r="I185" t="str">
        <f t="shared" si="18"/>
        <v>'AMZN',</v>
      </c>
      <c r="J185" t="str">
        <f t="shared" si="19"/>
        <v>645.25,</v>
      </c>
      <c r="K185" t="str">
        <f t="shared" si="20"/>
        <v>'SELL',</v>
      </c>
      <c r="L185" t="str">
        <f t="shared" si="21"/>
        <v>'2024-05-04 01:41:00'),</v>
      </c>
      <c r="M185" t="str">
        <f t="shared" si="22"/>
        <v>(4710,876,'AMZN',645.25,'SELL','2024-05-04 01:41:00'),</v>
      </c>
    </row>
    <row r="186" spans="1:13" x14ac:dyDescent="0.2">
      <c r="A186">
        <v>5297</v>
      </c>
      <c r="B186">
        <v>294</v>
      </c>
      <c r="C186" t="s">
        <v>1066</v>
      </c>
      <c r="D186" t="s">
        <v>1250</v>
      </c>
      <c r="E186" t="s">
        <v>1062</v>
      </c>
      <c r="F186" s="8" t="s">
        <v>2246</v>
      </c>
      <c r="G186" t="str">
        <f t="shared" si="16"/>
        <v>(5297,</v>
      </c>
      <c r="H186" t="str">
        <f t="shared" si="17"/>
        <v>294,</v>
      </c>
      <c r="I186" t="str">
        <f t="shared" si="18"/>
        <v>'AMZN',</v>
      </c>
      <c r="J186" t="str">
        <f t="shared" si="19"/>
        <v>894.29,</v>
      </c>
      <c r="K186" t="str">
        <f t="shared" si="20"/>
        <v>'SELL',</v>
      </c>
      <c r="L186" t="str">
        <f t="shared" si="21"/>
        <v>'2024-03-02 04:39:00'),</v>
      </c>
      <c r="M186" t="str">
        <f t="shared" si="22"/>
        <v>(5297,294,'AMZN',894.29,'SELL','2024-03-02 04:39:00'),</v>
      </c>
    </row>
    <row r="187" spans="1:13" x14ac:dyDescent="0.2">
      <c r="A187">
        <v>5751</v>
      </c>
      <c r="B187">
        <v>194</v>
      </c>
      <c r="C187" t="s">
        <v>1069</v>
      </c>
      <c r="D187" t="s">
        <v>1251</v>
      </c>
      <c r="E187" t="s">
        <v>1068</v>
      </c>
      <c r="F187" s="8" t="s">
        <v>2247</v>
      </c>
      <c r="G187" t="str">
        <f t="shared" si="16"/>
        <v>(5751,</v>
      </c>
      <c r="H187" t="str">
        <f t="shared" si="17"/>
        <v>194,</v>
      </c>
      <c r="I187" t="str">
        <f t="shared" si="18"/>
        <v>'MSFT',</v>
      </c>
      <c r="J187" t="str">
        <f t="shared" si="19"/>
        <v>641.82,</v>
      </c>
      <c r="K187" t="str">
        <f t="shared" si="20"/>
        <v>'BUY',</v>
      </c>
      <c r="L187" t="str">
        <f t="shared" si="21"/>
        <v>'2024-02-14 05:40:00'),</v>
      </c>
      <c r="M187" t="str">
        <f t="shared" si="22"/>
        <v>(5751,194,'MSFT',641.82,'BUY','2024-02-14 05:40:00'),</v>
      </c>
    </row>
    <row r="188" spans="1:13" x14ac:dyDescent="0.2">
      <c r="A188">
        <v>4168</v>
      </c>
      <c r="B188">
        <v>188</v>
      </c>
      <c r="C188" t="s">
        <v>1063</v>
      </c>
      <c r="D188" t="s">
        <v>1252</v>
      </c>
      <c r="E188" t="s">
        <v>1068</v>
      </c>
      <c r="F188" s="8" t="s">
        <v>2248</v>
      </c>
      <c r="G188" t="str">
        <f t="shared" si="16"/>
        <v>(4168,</v>
      </c>
      <c r="H188" t="str">
        <f t="shared" si="17"/>
        <v>188,</v>
      </c>
      <c r="I188" t="str">
        <f t="shared" si="18"/>
        <v>'META',</v>
      </c>
      <c r="J188" t="str">
        <f t="shared" si="19"/>
        <v>979.2,</v>
      </c>
      <c r="K188" t="str">
        <f t="shared" si="20"/>
        <v>'BUY',</v>
      </c>
      <c r="L188" t="str">
        <f t="shared" si="21"/>
        <v>'2024-02-18 09:23:00'),</v>
      </c>
      <c r="M188" t="str">
        <f t="shared" si="22"/>
        <v>(4168,188,'META',979.2,'BUY','2024-02-18 09:23:00'),</v>
      </c>
    </row>
    <row r="189" spans="1:13" x14ac:dyDescent="0.2">
      <c r="A189">
        <v>7922</v>
      </c>
      <c r="B189">
        <v>441</v>
      </c>
      <c r="C189" t="s">
        <v>1066</v>
      </c>
      <c r="D189" t="s">
        <v>1253</v>
      </c>
      <c r="E189" t="s">
        <v>1062</v>
      </c>
      <c r="F189" s="8" t="s">
        <v>2249</v>
      </c>
      <c r="G189" t="str">
        <f t="shared" si="16"/>
        <v>(7922,</v>
      </c>
      <c r="H189" t="str">
        <f t="shared" si="17"/>
        <v>441,</v>
      </c>
      <c r="I189" t="str">
        <f t="shared" si="18"/>
        <v>'AMZN',</v>
      </c>
      <c r="J189" t="str">
        <f t="shared" si="19"/>
        <v>853.1,</v>
      </c>
      <c r="K189" t="str">
        <f t="shared" si="20"/>
        <v>'SELL',</v>
      </c>
      <c r="L189" t="str">
        <f t="shared" si="21"/>
        <v>'2024-01-12 14:57:00'),</v>
      </c>
      <c r="M189" t="str">
        <f t="shared" si="22"/>
        <v>(7922,441,'AMZN',853.1,'SELL','2024-01-12 14:57:00'),</v>
      </c>
    </row>
    <row r="190" spans="1:13" x14ac:dyDescent="0.2">
      <c r="A190">
        <v>5258</v>
      </c>
      <c r="B190">
        <v>691</v>
      </c>
      <c r="C190" t="s">
        <v>1069</v>
      </c>
      <c r="D190" t="s">
        <v>1254</v>
      </c>
      <c r="E190" t="s">
        <v>1062</v>
      </c>
      <c r="F190" s="8" t="s">
        <v>2250</v>
      </c>
      <c r="G190" t="str">
        <f t="shared" si="16"/>
        <v>(5258,</v>
      </c>
      <c r="H190" t="str">
        <f t="shared" si="17"/>
        <v>691,</v>
      </c>
      <c r="I190" t="str">
        <f t="shared" si="18"/>
        <v>'MSFT',</v>
      </c>
      <c r="J190" t="str">
        <f t="shared" si="19"/>
        <v>169.78,</v>
      </c>
      <c r="K190" t="str">
        <f t="shared" si="20"/>
        <v>'SELL',</v>
      </c>
      <c r="L190" t="str">
        <f t="shared" si="21"/>
        <v>'2024-01-02 07:36:00'),</v>
      </c>
      <c r="M190" t="str">
        <f t="shared" si="22"/>
        <v>(5258,691,'MSFT',169.78,'SELL','2024-01-02 07:36:00'),</v>
      </c>
    </row>
    <row r="191" spans="1:13" x14ac:dyDescent="0.2">
      <c r="A191">
        <v>5297</v>
      </c>
      <c r="B191">
        <v>826</v>
      </c>
      <c r="C191" t="s">
        <v>1063</v>
      </c>
      <c r="D191" t="s">
        <v>1255</v>
      </c>
      <c r="E191" t="s">
        <v>1062</v>
      </c>
      <c r="F191" s="8" t="s">
        <v>2251</v>
      </c>
      <c r="G191" t="str">
        <f t="shared" si="16"/>
        <v>(5297,</v>
      </c>
      <c r="H191" t="str">
        <f t="shared" si="17"/>
        <v>826,</v>
      </c>
      <c r="I191" t="str">
        <f t="shared" si="18"/>
        <v>'META',</v>
      </c>
      <c r="J191" t="str">
        <f t="shared" si="19"/>
        <v>562.29,</v>
      </c>
      <c r="K191" t="str">
        <f t="shared" si="20"/>
        <v>'SELL',</v>
      </c>
      <c r="L191" t="str">
        <f t="shared" si="21"/>
        <v>'2024-02-09 16:23:00'),</v>
      </c>
      <c r="M191" t="str">
        <f t="shared" si="22"/>
        <v>(5297,826,'META',562.29,'SELL','2024-02-09 16:23:00'),</v>
      </c>
    </row>
    <row r="192" spans="1:13" x14ac:dyDescent="0.2">
      <c r="A192">
        <v>4710</v>
      </c>
      <c r="B192">
        <v>104</v>
      </c>
      <c r="C192" t="s">
        <v>1069</v>
      </c>
      <c r="D192" t="s">
        <v>1256</v>
      </c>
      <c r="E192" t="s">
        <v>1068</v>
      </c>
      <c r="F192" s="8" t="s">
        <v>2252</v>
      </c>
      <c r="G192" t="str">
        <f t="shared" si="16"/>
        <v>(4710,</v>
      </c>
      <c r="H192" t="str">
        <f t="shared" si="17"/>
        <v>104,</v>
      </c>
      <c r="I192" t="str">
        <f t="shared" si="18"/>
        <v>'MSFT',</v>
      </c>
      <c r="J192" t="str">
        <f t="shared" si="19"/>
        <v>487.22,</v>
      </c>
      <c r="K192" t="str">
        <f t="shared" si="20"/>
        <v>'BUY',</v>
      </c>
      <c r="L192" t="str">
        <f t="shared" si="21"/>
        <v>'2024-04-07 11:28:00'),</v>
      </c>
      <c r="M192" t="str">
        <f t="shared" si="22"/>
        <v>(4710,104,'MSFT',487.22,'BUY','2024-04-07 11:28:00'),</v>
      </c>
    </row>
    <row r="193" spans="1:13" x14ac:dyDescent="0.2">
      <c r="A193">
        <v>2941</v>
      </c>
      <c r="B193">
        <v>518</v>
      </c>
      <c r="C193" t="s">
        <v>1069</v>
      </c>
      <c r="D193" t="s">
        <v>1257</v>
      </c>
      <c r="E193" t="s">
        <v>1068</v>
      </c>
      <c r="F193" s="8" t="s">
        <v>2253</v>
      </c>
      <c r="G193" t="str">
        <f t="shared" si="16"/>
        <v>(2941,</v>
      </c>
      <c r="H193" t="str">
        <f t="shared" si="17"/>
        <v>518,</v>
      </c>
      <c r="I193" t="str">
        <f t="shared" si="18"/>
        <v>'MSFT',</v>
      </c>
      <c r="J193" t="str">
        <f t="shared" si="19"/>
        <v>726.73,</v>
      </c>
      <c r="K193" t="str">
        <f t="shared" si="20"/>
        <v>'BUY',</v>
      </c>
      <c r="L193" t="str">
        <f t="shared" si="21"/>
        <v>'2024-04-22 10:32:00'),</v>
      </c>
      <c r="M193" t="str">
        <f t="shared" si="22"/>
        <v>(2941,518,'MSFT',726.73,'BUY','2024-04-22 10:32:00'),</v>
      </c>
    </row>
    <row r="194" spans="1:13" x14ac:dyDescent="0.2">
      <c r="A194">
        <v>2941</v>
      </c>
      <c r="B194">
        <v>501</v>
      </c>
      <c r="C194" t="s">
        <v>1066</v>
      </c>
      <c r="D194" t="s">
        <v>1258</v>
      </c>
      <c r="E194" t="s">
        <v>1062</v>
      </c>
      <c r="F194" s="8" t="s">
        <v>2254</v>
      </c>
      <c r="G194" t="str">
        <f t="shared" si="16"/>
        <v>(2941,</v>
      </c>
      <c r="H194" t="str">
        <f t="shared" si="17"/>
        <v>501,</v>
      </c>
      <c r="I194" t="str">
        <f t="shared" si="18"/>
        <v>'AMZN',</v>
      </c>
      <c r="J194" t="str">
        <f t="shared" si="19"/>
        <v>700.27,</v>
      </c>
      <c r="K194" t="str">
        <f t="shared" si="20"/>
        <v>'SELL',</v>
      </c>
      <c r="L194" t="str">
        <f t="shared" si="21"/>
        <v>'2024-03-29 03:41:00'),</v>
      </c>
      <c r="M194" t="str">
        <f t="shared" si="22"/>
        <v>(2941,501,'AMZN',700.27,'SELL','2024-03-29 03:41:00'),</v>
      </c>
    </row>
    <row r="195" spans="1:13" x14ac:dyDescent="0.2">
      <c r="A195">
        <v>2941</v>
      </c>
      <c r="B195">
        <v>187</v>
      </c>
      <c r="C195" t="s">
        <v>1060</v>
      </c>
      <c r="D195" t="s">
        <v>1259</v>
      </c>
      <c r="E195" t="s">
        <v>1068</v>
      </c>
      <c r="F195" s="8" t="s">
        <v>2255</v>
      </c>
      <c r="G195" t="str">
        <f t="shared" ref="G195:G258" si="23">"("&amp;A195&amp;","</f>
        <v>(2941,</v>
      </c>
      <c r="H195" t="str">
        <f t="shared" ref="H195:H258" si="24">B195&amp;","</f>
        <v>187,</v>
      </c>
      <c r="I195" t="str">
        <f t="shared" ref="I195:I258" si="25">"'"&amp;C195&amp;"',"</f>
        <v>'TSLA',</v>
      </c>
      <c r="J195" t="str">
        <f t="shared" ref="J195:J258" si="26">D195&amp;","</f>
        <v>108.41,</v>
      </c>
      <c r="K195" t="str">
        <f t="shared" ref="K195:K258" si="27">"'"&amp;E195&amp;"',"</f>
        <v>'BUY',</v>
      </c>
      <c r="L195" t="str">
        <f t="shared" ref="L195:L258" si="28">"'"&amp;F195&amp;"'),"</f>
        <v>'2024-01-26 02:22:00'),</v>
      </c>
      <c r="M195" t="str">
        <f t="shared" ref="M195:M258" si="29">G195&amp;H195&amp;I195&amp;J195&amp;K195&amp;L195</f>
        <v>(2941,187,'TSLA',108.41,'BUY','2024-01-26 02:22:00'),</v>
      </c>
    </row>
    <row r="196" spans="1:13" x14ac:dyDescent="0.2">
      <c r="A196">
        <v>7531</v>
      </c>
      <c r="B196">
        <v>688</v>
      </c>
      <c r="C196" t="s">
        <v>1069</v>
      </c>
      <c r="D196" t="s">
        <v>1260</v>
      </c>
      <c r="E196" t="s">
        <v>1062</v>
      </c>
      <c r="F196" s="8" t="s">
        <v>2256</v>
      </c>
      <c r="G196" t="str">
        <f t="shared" si="23"/>
        <v>(7531,</v>
      </c>
      <c r="H196" t="str">
        <f t="shared" si="24"/>
        <v>688,</v>
      </c>
      <c r="I196" t="str">
        <f t="shared" si="25"/>
        <v>'MSFT',</v>
      </c>
      <c r="J196" t="str">
        <f t="shared" si="26"/>
        <v>244.33,</v>
      </c>
      <c r="K196" t="str">
        <f t="shared" si="27"/>
        <v>'SELL',</v>
      </c>
      <c r="L196" t="str">
        <f t="shared" si="28"/>
        <v>'2024-03-31 23:24:00'),</v>
      </c>
      <c r="M196" t="str">
        <f t="shared" si="29"/>
        <v>(7531,688,'MSFT',244.33,'SELL','2024-03-31 23:24:00'),</v>
      </c>
    </row>
    <row r="197" spans="1:13" x14ac:dyDescent="0.2">
      <c r="A197">
        <v>6298</v>
      </c>
      <c r="B197">
        <v>552</v>
      </c>
      <c r="C197" t="s">
        <v>1069</v>
      </c>
      <c r="D197" t="s">
        <v>1261</v>
      </c>
      <c r="E197" t="s">
        <v>1068</v>
      </c>
      <c r="F197" s="8" t="s">
        <v>2257</v>
      </c>
      <c r="G197" t="str">
        <f t="shared" si="23"/>
        <v>(6298,</v>
      </c>
      <c r="H197" t="str">
        <f t="shared" si="24"/>
        <v>552,</v>
      </c>
      <c r="I197" t="str">
        <f t="shared" si="25"/>
        <v>'MSFT',</v>
      </c>
      <c r="J197" t="str">
        <f t="shared" si="26"/>
        <v>679.95,</v>
      </c>
      <c r="K197" t="str">
        <f t="shared" si="27"/>
        <v>'BUY',</v>
      </c>
      <c r="L197" t="str">
        <f t="shared" si="28"/>
        <v>'2024-01-09 06:16:00'),</v>
      </c>
      <c r="M197" t="str">
        <f t="shared" si="29"/>
        <v>(6298,552,'MSFT',679.95,'BUY','2024-01-09 06:16:00'),</v>
      </c>
    </row>
    <row r="198" spans="1:13" x14ac:dyDescent="0.2">
      <c r="A198">
        <v>7922</v>
      </c>
      <c r="B198">
        <v>456</v>
      </c>
      <c r="C198" t="s">
        <v>1069</v>
      </c>
      <c r="D198" t="s">
        <v>1262</v>
      </c>
      <c r="E198" t="s">
        <v>1068</v>
      </c>
      <c r="F198" s="8" t="s">
        <v>2258</v>
      </c>
      <c r="G198" t="str">
        <f t="shared" si="23"/>
        <v>(7922,</v>
      </c>
      <c r="H198" t="str">
        <f t="shared" si="24"/>
        <v>456,</v>
      </c>
      <c r="I198" t="str">
        <f t="shared" si="25"/>
        <v>'MSFT',</v>
      </c>
      <c r="J198" t="str">
        <f t="shared" si="26"/>
        <v>775.48,</v>
      </c>
      <c r="K198" t="str">
        <f t="shared" si="27"/>
        <v>'BUY',</v>
      </c>
      <c r="L198" t="str">
        <f t="shared" si="28"/>
        <v>'2024-04-28 22:05:00'),</v>
      </c>
      <c r="M198" t="str">
        <f t="shared" si="29"/>
        <v>(7922,456,'MSFT',775.48,'BUY','2024-04-28 22:05:00'),</v>
      </c>
    </row>
    <row r="199" spans="1:13" x14ac:dyDescent="0.2">
      <c r="A199">
        <v>9094</v>
      </c>
      <c r="B199">
        <v>65</v>
      </c>
      <c r="C199" t="s">
        <v>1060</v>
      </c>
      <c r="D199" t="s">
        <v>1263</v>
      </c>
      <c r="E199" t="s">
        <v>1062</v>
      </c>
      <c r="F199" s="8" t="s">
        <v>2259</v>
      </c>
      <c r="G199" t="str">
        <f t="shared" si="23"/>
        <v>(9094,</v>
      </c>
      <c r="H199" t="str">
        <f t="shared" si="24"/>
        <v>65,</v>
      </c>
      <c r="I199" t="str">
        <f t="shared" si="25"/>
        <v>'TSLA',</v>
      </c>
      <c r="J199" t="str">
        <f t="shared" si="26"/>
        <v>451.47,</v>
      </c>
      <c r="K199" t="str">
        <f t="shared" si="27"/>
        <v>'SELL',</v>
      </c>
      <c r="L199" t="str">
        <f t="shared" si="28"/>
        <v>'2024-02-18 02:13:00'),</v>
      </c>
      <c r="M199" t="str">
        <f t="shared" si="29"/>
        <v>(9094,65,'TSLA',451.47,'SELL','2024-02-18 02:13:00'),</v>
      </c>
    </row>
    <row r="200" spans="1:13" x14ac:dyDescent="0.2">
      <c r="A200">
        <v>7922</v>
      </c>
      <c r="B200">
        <v>36</v>
      </c>
      <c r="C200" t="s">
        <v>1060</v>
      </c>
      <c r="D200" t="s">
        <v>1264</v>
      </c>
      <c r="E200" t="s">
        <v>1068</v>
      </c>
      <c r="F200" s="8" t="s">
        <v>2260</v>
      </c>
      <c r="G200" t="str">
        <f t="shared" si="23"/>
        <v>(7922,</v>
      </c>
      <c r="H200" t="str">
        <f t="shared" si="24"/>
        <v>36,</v>
      </c>
      <c r="I200" t="str">
        <f t="shared" si="25"/>
        <v>'TSLA',</v>
      </c>
      <c r="J200" t="str">
        <f t="shared" si="26"/>
        <v>682.59,</v>
      </c>
      <c r="K200" t="str">
        <f t="shared" si="27"/>
        <v>'BUY',</v>
      </c>
      <c r="L200" t="str">
        <f t="shared" si="28"/>
        <v>'2024-02-07 19:02:00'),</v>
      </c>
      <c r="M200" t="str">
        <f t="shared" si="29"/>
        <v>(7922,36,'TSLA',682.59,'BUY','2024-02-07 19:02:00'),</v>
      </c>
    </row>
    <row r="201" spans="1:13" x14ac:dyDescent="0.2">
      <c r="A201">
        <v>5751</v>
      </c>
      <c r="B201">
        <v>486</v>
      </c>
      <c r="C201" t="s">
        <v>1063</v>
      </c>
      <c r="D201" t="s">
        <v>1265</v>
      </c>
      <c r="E201" t="s">
        <v>1062</v>
      </c>
      <c r="F201" s="8" t="s">
        <v>2261</v>
      </c>
      <c r="G201" t="str">
        <f t="shared" si="23"/>
        <v>(5751,</v>
      </c>
      <c r="H201" t="str">
        <f t="shared" si="24"/>
        <v>486,</v>
      </c>
      <c r="I201" t="str">
        <f t="shared" si="25"/>
        <v>'META',</v>
      </c>
      <c r="J201" t="str">
        <f t="shared" si="26"/>
        <v>594.59,</v>
      </c>
      <c r="K201" t="str">
        <f t="shared" si="27"/>
        <v>'SELL',</v>
      </c>
      <c r="L201" t="str">
        <f t="shared" si="28"/>
        <v>'2024-05-05 11:28:00'),</v>
      </c>
      <c r="M201" t="str">
        <f t="shared" si="29"/>
        <v>(5751,486,'META',594.59,'SELL','2024-05-05 11:28:00'),</v>
      </c>
    </row>
    <row r="202" spans="1:13" x14ac:dyDescent="0.2">
      <c r="A202">
        <v>4669</v>
      </c>
      <c r="B202">
        <v>818</v>
      </c>
      <c r="C202" t="s">
        <v>1063</v>
      </c>
      <c r="D202" t="s">
        <v>1266</v>
      </c>
      <c r="E202" t="s">
        <v>1068</v>
      </c>
      <c r="F202" s="8" t="s">
        <v>2262</v>
      </c>
      <c r="G202" t="str">
        <f t="shared" si="23"/>
        <v>(4669,</v>
      </c>
      <c r="H202" t="str">
        <f t="shared" si="24"/>
        <v>818,</v>
      </c>
      <c r="I202" t="str">
        <f t="shared" si="25"/>
        <v>'META',</v>
      </c>
      <c r="J202" t="str">
        <f t="shared" si="26"/>
        <v>390.65,</v>
      </c>
      <c r="K202" t="str">
        <f t="shared" si="27"/>
        <v>'BUY',</v>
      </c>
      <c r="L202" t="str">
        <f t="shared" si="28"/>
        <v>'2024-01-18 07:30:00'),</v>
      </c>
      <c r="M202" t="str">
        <f t="shared" si="29"/>
        <v>(4669,818,'META',390.65,'BUY','2024-01-18 07:30:00'),</v>
      </c>
    </row>
    <row r="203" spans="1:13" x14ac:dyDescent="0.2">
      <c r="A203">
        <v>5705</v>
      </c>
      <c r="B203">
        <v>466</v>
      </c>
      <c r="C203" t="s">
        <v>1066</v>
      </c>
      <c r="D203" t="s">
        <v>1267</v>
      </c>
      <c r="E203" t="s">
        <v>1068</v>
      </c>
      <c r="F203" s="8" t="s">
        <v>2263</v>
      </c>
      <c r="G203" t="str">
        <f t="shared" si="23"/>
        <v>(5705,</v>
      </c>
      <c r="H203" t="str">
        <f t="shared" si="24"/>
        <v>466,</v>
      </c>
      <c r="I203" t="str">
        <f t="shared" si="25"/>
        <v>'AMZN',</v>
      </c>
      <c r="J203" t="str">
        <f t="shared" si="26"/>
        <v>940.26,</v>
      </c>
      <c r="K203" t="str">
        <f t="shared" si="27"/>
        <v>'BUY',</v>
      </c>
      <c r="L203" t="str">
        <f t="shared" si="28"/>
        <v>'2024-01-29 19:34:00'),</v>
      </c>
      <c r="M203" t="str">
        <f t="shared" si="29"/>
        <v>(5705,466,'AMZN',940.26,'BUY','2024-01-29 19:34:00'),</v>
      </c>
    </row>
    <row r="204" spans="1:13" x14ac:dyDescent="0.2">
      <c r="A204">
        <v>7922</v>
      </c>
      <c r="B204">
        <v>399</v>
      </c>
      <c r="C204" t="s">
        <v>1069</v>
      </c>
      <c r="D204" t="s">
        <v>1268</v>
      </c>
      <c r="E204" t="s">
        <v>1068</v>
      </c>
      <c r="F204" s="8" t="s">
        <v>2264</v>
      </c>
      <c r="G204" t="str">
        <f t="shared" si="23"/>
        <v>(7922,</v>
      </c>
      <c r="H204" t="str">
        <f t="shared" si="24"/>
        <v>399,</v>
      </c>
      <c r="I204" t="str">
        <f t="shared" si="25"/>
        <v>'MSFT',</v>
      </c>
      <c r="J204" t="str">
        <f t="shared" si="26"/>
        <v>189.16,</v>
      </c>
      <c r="K204" t="str">
        <f t="shared" si="27"/>
        <v>'BUY',</v>
      </c>
      <c r="L204" t="str">
        <f t="shared" si="28"/>
        <v>'2024-02-17 04:02:00'),</v>
      </c>
      <c r="M204" t="str">
        <f t="shared" si="29"/>
        <v>(7922,399,'MSFT',189.16,'BUY','2024-02-17 04:02:00'),</v>
      </c>
    </row>
    <row r="205" spans="1:13" x14ac:dyDescent="0.2">
      <c r="A205">
        <v>9952</v>
      </c>
      <c r="B205">
        <v>252</v>
      </c>
      <c r="C205" t="s">
        <v>1066</v>
      </c>
      <c r="D205" t="s">
        <v>1269</v>
      </c>
      <c r="E205" t="s">
        <v>1062</v>
      </c>
      <c r="F205" s="8" t="s">
        <v>2265</v>
      </c>
      <c r="G205" t="str">
        <f t="shared" si="23"/>
        <v>(9952,</v>
      </c>
      <c r="H205" t="str">
        <f t="shared" si="24"/>
        <v>252,</v>
      </c>
      <c r="I205" t="str">
        <f t="shared" si="25"/>
        <v>'AMZN',</v>
      </c>
      <c r="J205" t="str">
        <f t="shared" si="26"/>
        <v>561.97,</v>
      </c>
      <c r="K205" t="str">
        <f t="shared" si="27"/>
        <v>'SELL',</v>
      </c>
      <c r="L205" t="str">
        <f t="shared" si="28"/>
        <v>'2024-01-31 07:59:00'),</v>
      </c>
      <c r="M205" t="str">
        <f t="shared" si="29"/>
        <v>(9952,252,'AMZN',561.97,'SELL','2024-01-31 07:59:00'),</v>
      </c>
    </row>
    <row r="206" spans="1:13" x14ac:dyDescent="0.2">
      <c r="A206">
        <v>2941</v>
      </c>
      <c r="B206">
        <v>587</v>
      </c>
      <c r="C206" t="s">
        <v>1063</v>
      </c>
      <c r="D206" t="s">
        <v>1270</v>
      </c>
      <c r="E206" t="s">
        <v>1062</v>
      </c>
      <c r="F206" s="8" t="s">
        <v>2266</v>
      </c>
      <c r="G206" t="str">
        <f t="shared" si="23"/>
        <v>(2941,</v>
      </c>
      <c r="H206" t="str">
        <f t="shared" si="24"/>
        <v>587,</v>
      </c>
      <c r="I206" t="str">
        <f t="shared" si="25"/>
        <v>'META',</v>
      </c>
      <c r="J206" t="str">
        <f t="shared" si="26"/>
        <v>452.93,</v>
      </c>
      <c r="K206" t="str">
        <f t="shared" si="27"/>
        <v>'SELL',</v>
      </c>
      <c r="L206" t="str">
        <f t="shared" si="28"/>
        <v>'2024-05-16 08:42:00'),</v>
      </c>
      <c r="M206" t="str">
        <f t="shared" si="29"/>
        <v>(2941,587,'META',452.93,'SELL','2024-05-16 08:42:00'),</v>
      </c>
    </row>
    <row r="207" spans="1:13" x14ac:dyDescent="0.2">
      <c r="A207">
        <v>5705</v>
      </c>
      <c r="B207">
        <v>81</v>
      </c>
      <c r="C207" t="s">
        <v>1060</v>
      </c>
      <c r="D207" t="s">
        <v>1271</v>
      </c>
      <c r="E207" t="s">
        <v>1068</v>
      </c>
      <c r="F207" s="8" t="s">
        <v>2267</v>
      </c>
      <c r="G207" t="str">
        <f t="shared" si="23"/>
        <v>(5705,</v>
      </c>
      <c r="H207" t="str">
        <f t="shared" si="24"/>
        <v>81,</v>
      </c>
      <c r="I207" t="str">
        <f t="shared" si="25"/>
        <v>'TSLA',</v>
      </c>
      <c r="J207" t="str">
        <f t="shared" si="26"/>
        <v>489.04,</v>
      </c>
      <c r="K207" t="str">
        <f t="shared" si="27"/>
        <v>'BUY',</v>
      </c>
      <c r="L207" t="str">
        <f t="shared" si="28"/>
        <v>'2024-03-07 04:26:00'),</v>
      </c>
      <c r="M207" t="str">
        <f t="shared" si="29"/>
        <v>(5705,81,'TSLA',489.04,'BUY','2024-03-07 04:26:00'),</v>
      </c>
    </row>
    <row r="208" spans="1:13" x14ac:dyDescent="0.2">
      <c r="A208">
        <v>1691</v>
      </c>
      <c r="B208">
        <v>744</v>
      </c>
      <c r="C208" t="s">
        <v>1060</v>
      </c>
      <c r="D208" t="s">
        <v>1272</v>
      </c>
      <c r="E208" t="s">
        <v>1068</v>
      </c>
      <c r="F208" s="8" t="s">
        <v>2268</v>
      </c>
      <c r="G208" t="str">
        <f t="shared" si="23"/>
        <v>(1691,</v>
      </c>
      <c r="H208" t="str">
        <f t="shared" si="24"/>
        <v>744,</v>
      </c>
      <c r="I208" t="str">
        <f t="shared" si="25"/>
        <v>'TSLA',</v>
      </c>
      <c r="J208" t="str">
        <f t="shared" si="26"/>
        <v>765.5,</v>
      </c>
      <c r="K208" t="str">
        <f t="shared" si="27"/>
        <v>'BUY',</v>
      </c>
      <c r="L208" t="str">
        <f t="shared" si="28"/>
        <v>'2024-04-21 14:19:00'),</v>
      </c>
      <c r="M208" t="str">
        <f t="shared" si="29"/>
        <v>(1691,744,'TSLA',765.5,'BUY','2024-04-21 14:19:00'),</v>
      </c>
    </row>
    <row r="209" spans="1:13" x14ac:dyDescent="0.2">
      <c r="A209">
        <v>4710</v>
      </c>
      <c r="B209">
        <v>236</v>
      </c>
      <c r="C209" t="s">
        <v>1063</v>
      </c>
      <c r="D209" t="s">
        <v>1273</v>
      </c>
      <c r="E209" t="s">
        <v>1068</v>
      </c>
      <c r="F209" s="8" t="s">
        <v>2269</v>
      </c>
      <c r="G209" t="str">
        <f t="shared" si="23"/>
        <v>(4710,</v>
      </c>
      <c r="H209" t="str">
        <f t="shared" si="24"/>
        <v>236,</v>
      </c>
      <c r="I209" t="str">
        <f t="shared" si="25"/>
        <v>'META',</v>
      </c>
      <c r="J209" t="str">
        <f t="shared" si="26"/>
        <v>296.07,</v>
      </c>
      <c r="K209" t="str">
        <f t="shared" si="27"/>
        <v>'BUY',</v>
      </c>
      <c r="L209" t="str">
        <f t="shared" si="28"/>
        <v>'2024-04-08 11:04:00'),</v>
      </c>
      <c r="M209" t="str">
        <f t="shared" si="29"/>
        <v>(4710,236,'META',296.07,'BUY','2024-04-08 11:04:00'),</v>
      </c>
    </row>
    <row r="210" spans="1:13" x14ac:dyDescent="0.2">
      <c r="A210">
        <v>7922</v>
      </c>
      <c r="B210">
        <v>279</v>
      </c>
      <c r="C210" t="s">
        <v>1063</v>
      </c>
      <c r="D210" t="s">
        <v>1274</v>
      </c>
      <c r="E210" t="s">
        <v>1068</v>
      </c>
      <c r="F210" s="8" t="s">
        <v>2270</v>
      </c>
      <c r="G210" t="str">
        <f t="shared" si="23"/>
        <v>(7922,</v>
      </c>
      <c r="H210" t="str">
        <f t="shared" si="24"/>
        <v>279,</v>
      </c>
      <c r="I210" t="str">
        <f t="shared" si="25"/>
        <v>'META',</v>
      </c>
      <c r="J210" t="str">
        <f t="shared" si="26"/>
        <v>419.69,</v>
      </c>
      <c r="K210" t="str">
        <f t="shared" si="27"/>
        <v>'BUY',</v>
      </c>
      <c r="L210" t="str">
        <f t="shared" si="28"/>
        <v>'2024-03-21 10:34:00'),</v>
      </c>
      <c r="M210" t="str">
        <f t="shared" si="29"/>
        <v>(7922,279,'META',419.69,'BUY','2024-03-21 10:34:00'),</v>
      </c>
    </row>
    <row r="211" spans="1:13" x14ac:dyDescent="0.2">
      <c r="A211">
        <v>6298</v>
      </c>
      <c r="B211">
        <v>266</v>
      </c>
      <c r="C211" t="s">
        <v>1066</v>
      </c>
      <c r="D211" t="s">
        <v>1275</v>
      </c>
      <c r="E211" t="s">
        <v>1062</v>
      </c>
      <c r="F211" s="8" t="s">
        <v>2271</v>
      </c>
      <c r="G211" t="str">
        <f t="shared" si="23"/>
        <v>(6298,</v>
      </c>
      <c r="H211" t="str">
        <f t="shared" si="24"/>
        <v>266,</v>
      </c>
      <c r="I211" t="str">
        <f t="shared" si="25"/>
        <v>'AMZN',</v>
      </c>
      <c r="J211" t="str">
        <f t="shared" si="26"/>
        <v>709.65,</v>
      </c>
      <c r="K211" t="str">
        <f t="shared" si="27"/>
        <v>'SELL',</v>
      </c>
      <c r="L211" t="str">
        <f t="shared" si="28"/>
        <v>'2024-03-19 22:41:00'),</v>
      </c>
      <c r="M211" t="str">
        <f t="shared" si="29"/>
        <v>(6298,266,'AMZN',709.65,'SELL','2024-03-19 22:41:00'),</v>
      </c>
    </row>
    <row r="212" spans="1:13" x14ac:dyDescent="0.2">
      <c r="A212">
        <v>4669</v>
      </c>
      <c r="B212">
        <v>508</v>
      </c>
      <c r="C212" t="s">
        <v>1060</v>
      </c>
      <c r="D212" t="s">
        <v>1276</v>
      </c>
      <c r="E212" t="s">
        <v>1068</v>
      </c>
      <c r="F212" s="8" t="s">
        <v>2272</v>
      </c>
      <c r="G212" t="str">
        <f t="shared" si="23"/>
        <v>(4669,</v>
      </c>
      <c r="H212" t="str">
        <f t="shared" si="24"/>
        <v>508,</v>
      </c>
      <c r="I212" t="str">
        <f t="shared" si="25"/>
        <v>'TSLA',</v>
      </c>
      <c r="J212" t="str">
        <f t="shared" si="26"/>
        <v>277.93,</v>
      </c>
      <c r="K212" t="str">
        <f t="shared" si="27"/>
        <v>'BUY',</v>
      </c>
      <c r="L212" t="str">
        <f t="shared" si="28"/>
        <v>'2024-02-02 12:24:00'),</v>
      </c>
      <c r="M212" t="str">
        <f t="shared" si="29"/>
        <v>(4669,508,'TSLA',277.93,'BUY','2024-02-02 12:24:00'),</v>
      </c>
    </row>
    <row r="213" spans="1:13" x14ac:dyDescent="0.2">
      <c r="A213">
        <v>4168</v>
      </c>
      <c r="B213">
        <v>489</v>
      </c>
      <c r="C213" t="s">
        <v>1066</v>
      </c>
      <c r="D213" t="s">
        <v>1277</v>
      </c>
      <c r="E213" t="s">
        <v>1068</v>
      </c>
      <c r="F213" s="8" t="s">
        <v>2273</v>
      </c>
      <c r="G213" t="str">
        <f t="shared" si="23"/>
        <v>(4168,</v>
      </c>
      <c r="H213" t="str">
        <f t="shared" si="24"/>
        <v>489,</v>
      </c>
      <c r="I213" t="str">
        <f t="shared" si="25"/>
        <v>'AMZN',</v>
      </c>
      <c r="J213" t="str">
        <f t="shared" si="26"/>
        <v>562.8,</v>
      </c>
      <c r="K213" t="str">
        <f t="shared" si="27"/>
        <v>'BUY',</v>
      </c>
      <c r="L213" t="str">
        <f t="shared" si="28"/>
        <v>'2024-01-14 16:52:00'),</v>
      </c>
      <c r="M213" t="str">
        <f t="shared" si="29"/>
        <v>(4168,489,'AMZN',562.8,'BUY','2024-01-14 16:52:00'),</v>
      </c>
    </row>
    <row r="214" spans="1:13" x14ac:dyDescent="0.2">
      <c r="A214">
        <v>5258</v>
      </c>
      <c r="B214">
        <v>282</v>
      </c>
      <c r="C214" t="s">
        <v>1063</v>
      </c>
      <c r="D214" t="s">
        <v>1278</v>
      </c>
      <c r="E214" t="s">
        <v>1068</v>
      </c>
      <c r="F214" s="8" t="s">
        <v>2274</v>
      </c>
      <c r="G214" t="str">
        <f t="shared" si="23"/>
        <v>(5258,</v>
      </c>
      <c r="H214" t="str">
        <f t="shared" si="24"/>
        <v>282,</v>
      </c>
      <c r="I214" t="str">
        <f t="shared" si="25"/>
        <v>'META',</v>
      </c>
      <c r="J214" t="str">
        <f t="shared" si="26"/>
        <v>256.56,</v>
      </c>
      <c r="K214" t="str">
        <f t="shared" si="27"/>
        <v>'BUY',</v>
      </c>
      <c r="L214" t="str">
        <f t="shared" si="28"/>
        <v>'2024-05-07 11:48:00'),</v>
      </c>
      <c r="M214" t="str">
        <f t="shared" si="29"/>
        <v>(5258,282,'META',256.56,'BUY','2024-05-07 11:48:00'),</v>
      </c>
    </row>
    <row r="215" spans="1:13" x14ac:dyDescent="0.2">
      <c r="A215">
        <v>9094</v>
      </c>
      <c r="B215">
        <v>818</v>
      </c>
      <c r="C215" t="s">
        <v>1066</v>
      </c>
      <c r="D215" t="s">
        <v>1279</v>
      </c>
      <c r="E215" t="s">
        <v>1068</v>
      </c>
      <c r="F215" s="8" t="s">
        <v>2275</v>
      </c>
      <c r="G215" t="str">
        <f t="shared" si="23"/>
        <v>(9094,</v>
      </c>
      <c r="H215" t="str">
        <f t="shared" si="24"/>
        <v>818,</v>
      </c>
      <c r="I215" t="str">
        <f t="shared" si="25"/>
        <v>'AMZN',</v>
      </c>
      <c r="J215" t="str">
        <f t="shared" si="26"/>
        <v>980.78,</v>
      </c>
      <c r="K215" t="str">
        <f t="shared" si="27"/>
        <v>'BUY',</v>
      </c>
      <c r="L215" t="str">
        <f t="shared" si="28"/>
        <v>'2024-01-22 20:37:00'),</v>
      </c>
      <c r="M215" t="str">
        <f t="shared" si="29"/>
        <v>(9094,818,'AMZN',980.78,'BUY','2024-01-22 20:37:00'),</v>
      </c>
    </row>
    <row r="216" spans="1:13" x14ac:dyDescent="0.2">
      <c r="A216">
        <v>7922</v>
      </c>
      <c r="B216">
        <v>375</v>
      </c>
      <c r="C216" t="s">
        <v>1069</v>
      </c>
      <c r="D216" t="s">
        <v>1280</v>
      </c>
      <c r="E216" t="s">
        <v>1062</v>
      </c>
      <c r="F216" s="8" t="s">
        <v>2276</v>
      </c>
      <c r="G216" t="str">
        <f t="shared" si="23"/>
        <v>(7922,</v>
      </c>
      <c r="H216" t="str">
        <f t="shared" si="24"/>
        <v>375,</v>
      </c>
      <c r="I216" t="str">
        <f t="shared" si="25"/>
        <v>'MSFT',</v>
      </c>
      <c r="J216" t="str">
        <f t="shared" si="26"/>
        <v>648.55,</v>
      </c>
      <c r="K216" t="str">
        <f t="shared" si="27"/>
        <v>'SELL',</v>
      </c>
      <c r="L216" t="str">
        <f t="shared" si="28"/>
        <v>'2024-01-02 12:42:00'),</v>
      </c>
      <c r="M216" t="str">
        <f t="shared" si="29"/>
        <v>(7922,375,'MSFT',648.55,'SELL','2024-01-02 12:42:00'),</v>
      </c>
    </row>
    <row r="217" spans="1:13" x14ac:dyDescent="0.2">
      <c r="A217">
        <v>9952</v>
      </c>
      <c r="B217">
        <v>740</v>
      </c>
      <c r="C217" t="s">
        <v>1063</v>
      </c>
      <c r="D217" t="s">
        <v>1281</v>
      </c>
      <c r="E217" t="s">
        <v>1068</v>
      </c>
      <c r="F217" s="8" t="s">
        <v>2277</v>
      </c>
      <c r="G217" t="str">
        <f t="shared" si="23"/>
        <v>(9952,</v>
      </c>
      <c r="H217" t="str">
        <f t="shared" si="24"/>
        <v>740,</v>
      </c>
      <c r="I217" t="str">
        <f t="shared" si="25"/>
        <v>'META',</v>
      </c>
      <c r="J217" t="str">
        <f t="shared" si="26"/>
        <v>969.03,</v>
      </c>
      <c r="K217" t="str">
        <f t="shared" si="27"/>
        <v>'BUY',</v>
      </c>
      <c r="L217" t="str">
        <f t="shared" si="28"/>
        <v>'2024-05-29 11:20:00'),</v>
      </c>
      <c r="M217" t="str">
        <f t="shared" si="29"/>
        <v>(9952,740,'META',969.03,'BUY','2024-05-29 11:20:00'),</v>
      </c>
    </row>
    <row r="218" spans="1:13" x14ac:dyDescent="0.2">
      <c r="A218">
        <v>4168</v>
      </c>
      <c r="B218">
        <v>117</v>
      </c>
      <c r="C218" t="s">
        <v>1069</v>
      </c>
      <c r="D218" t="s">
        <v>1282</v>
      </c>
      <c r="E218" t="s">
        <v>1068</v>
      </c>
      <c r="F218" s="8" t="s">
        <v>2278</v>
      </c>
      <c r="G218" t="str">
        <f t="shared" si="23"/>
        <v>(4168,</v>
      </c>
      <c r="H218" t="str">
        <f t="shared" si="24"/>
        <v>117,</v>
      </c>
      <c r="I218" t="str">
        <f t="shared" si="25"/>
        <v>'MSFT',</v>
      </c>
      <c r="J218" t="str">
        <f t="shared" si="26"/>
        <v>788.46,</v>
      </c>
      <c r="K218" t="str">
        <f t="shared" si="27"/>
        <v>'BUY',</v>
      </c>
      <c r="L218" t="str">
        <f t="shared" si="28"/>
        <v>'2024-04-09 13:13:00'),</v>
      </c>
      <c r="M218" t="str">
        <f t="shared" si="29"/>
        <v>(4168,117,'MSFT',788.46,'BUY','2024-04-09 13:13:00'),</v>
      </c>
    </row>
    <row r="219" spans="1:13" x14ac:dyDescent="0.2">
      <c r="A219">
        <v>9094</v>
      </c>
      <c r="B219">
        <v>419</v>
      </c>
      <c r="C219" t="s">
        <v>1066</v>
      </c>
      <c r="D219" t="s">
        <v>1283</v>
      </c>
      <c r="E219" t="s">
        <v>1062</v>
      </c>
      <c r="F219" s="8" t="s">
        <v>2279</v>
      </c>
      <c r="G219" t="str">
        <f t="shared" si="23"/>
        <v>(9094,</v>
      </c>
      <c r="H219" t="str">
        <f t="shared" si="24"/>
        <v>419,</v>
      </c>
      <c r="I219" t="str">
        <f t="shared" si="25"/>
        <v>'AMZN',</v>
      </c>
      <c r="J219" t="str">
        <f t="shared" si="26"/>
        <v>334.56,</v>
      </c>
      <c r="K219" t="str">
        <f t="shared" si="27"/>
        <v>'SELL',</v>
      </c>
      <c r="L219" t="str">
        <f t="shared" si="28"/>
        <v>'2024-03-25 21:32:00'),</v>
      </c>
      <c r="M219" t="str">
        <f t="shared" si="29"/>
        <v>(9094,419,'AMZN',334.56,'SELL','2024-03-25 21:32:00'),</v>
      </c>
    </row>
    <row r="220" spans="1:13" x14ac:dyDescent="0.2">
      <c r="A220">
        <v>4669</v>
      </c>
      <c r="B220">
        <v>988</v>
      </c>
      <c r="C220" t="s">
        <v>1069</v>
      </c>
      <c r="D220" t="s">
        <v>1284</v>
      </c>
      <c r="E220" t="s">
        <v>1062</v>
      </c>
      <c r="F220" s="8" t="s">
        <v>2280</v>
      </c>
      <c r="G220" t="str">
        <f t="shared" si="23"/>
        <v>(4669,</v>
      </c>
      <c r="H220" t="str">
        <f t="shared" si="24"/>
        <v>988,</v>
      </c>
      <c r="I220" t="str">
        <f t="shared" si="25"/>
        <v>'MSFT',</v>
      </c>
      <c r="J220" t="str">
        <f t="shared" si="26"/>
        <v>245.42,</v>
      </c>
      <c r="K220" t="str">
        <f t="shared" si="27"/>
        <v>'SELL',</v>
      </c>
      <c r="L220" t="str">
        <f t="shared" si="28"/>
        <v>'2024-02-10 02:20:00'),</v>
      </c>
      <c r="M220" t="str">
        <f t="shared" si="29"/>
        <v>(4669,988,'MSFT',245.42,'SELL','2024-02-10 02:20:00'),</v>
      </c>
    </row>
    <row r="221" spans="1:13" x14ac:dyDescent="0.2">
      <c r="A221">
        <v>2941</v>
      </c>
      <c r="B221">
        <v>237</v>
      </c>
      <c r="C221" t="s">
        <v>1060</v>
      </c>
      <c r="D221" t="s">
        <v>1285</v>
      </c>
      <c r="E221" t="s">
        <v>1062</v>
      </c>
      <c r="F221" s="8" t="s">
        <v>2281</v>
      </c>
      <c r="G221" t="str">
        <f t="shared" si="23"/>
        <v>(2941,</v>
      </c>
      <c r="H221" t="str">
        <f t="shared" si="24"/>
        <v>237,</v>
      </c>
      <c r="I221" t="str">
        <f t="shared" si="25"/>
        <v>'TSLA',</v>
      </c>
      <c r="J221" t="str">
        <f t="shared" si="26"/>
        <v>813.23,</v>
      </c>
      <c r="K221" t="str">
        <f t="shared" si="27"/>
        <v>'SELL',</v>
      </c>
      <c r="L221" t="str">
        <f t="shared" si="28"/>
        <v>'2024-01-29 18:08:00'),</v>
      </c>
      <c r="M221" t="str">
        <f t="shared" si="29"/>
        <v>(2941,237,'TSLA',813.23,'SELL','2024-01-29 18:08:00'),</v>
      </c>
    </row>
    <row r="222" spans="1:13" x14ac:dyDescent="0.2">
      <c r="A222">
        <v>7922</v>
      </c>
      <c r="B222">
        <v>138</v>
      </c>
      <c r="C222" t="s">
        <v>1069</v>
      </c>
      <c r="D222" t="s">
        <v>1286</v>
      </c>
      <c r="E222" t="s">
        <v>1068</v>
      </c>
      <c r="F222" s="8" t="s">
        <v>2282</v>
      </c>
      <c r="G222" t="str">
        <f t="shared" si="23"/>
        <v>(7922,</v>
      </c>
      <c r="H222" t="str">
        <f t="shared" si="24"/>
        <v>138,</v>
      </c>
      <c r="I222" t="str">
        <f t="shared" si="25"/>
        <v>'MSFT',</v>
      </c>
      <c r="J222" t="str">
        <f t="shared" si="26"/>
        <v>527.37,</v>
      </c>
      <c r="K222" t="str">
        <f t="shared" si="27"/>
        <v>'BUY',</v>
      </c>
      <c r="L222" t="str">
        <f t="shared" si="28"/>
        <v>'2024-05-25 05:17:00'),</v>
      </c>
      <c r="M222" t="str">
        <f t="shared" si="29"/>
        <v>(7922,138,'MSFT',527.37,'BUY','2024-05-25 05:17:00'),</v>
      </c>
    </row>
    <row r="223" spans="1:13" x14ac:dyDescent="0.2">
      <c r="A223">
        <v>5297</v>
      </c>
      <c r="B223">
        <v>902</v>
      </c>
      <c r="C223" t="s">
        <v>1069</v>
      </c>
      <c r="D223" t="s">
        <v>1287</v>
      </c>
      <c r="E223" t="s">
        <v>1068</v>
      </c>
      <c r="F223" s="8" t="s">
        <v>2283</v>
      </c>
      <c r="G223" t="str">
        <f t="shared" si="23"/>
        <v>(5297,</v>
      </c>
      <c r="H223" t="str">
        <f t="shared" si="24"/>
        <v>902,</v>
      </c>
      <c r="I223" t="str">
        <f t="shared" si="25"/>
        <v>'MSFT',</v>
      </c>
      <c r="J223" t="str">
        <f t="shared" si="26"/>
        <v>124.98,</v>
      </c>
      <c r="K223" t="str">
        <f t="shared" si="27"/>
        <v>'BUY',</v>
      </c>
      <c r="L223" t="str">
        <f t="shared" si="28"/>
        <v>'2024-05-15 10:37:00'),</v>
      </c>
      <c r="M223" t="str">
        <f t="shared" si="29"/>
        <v>(5297,902,'MSFT',124.98,'BUY','2024-05-15 10:37:00'),</v>
      </c>
    </row>
    <row r="224" spans="1:13" x14ac:dyDescent="0.2">
      <c r="A224">
        <v>9952</v>
      </c>
      <c r="B224">
        <v>84</v>
      </c>
      <c r="C224" t="s">
        <v>1066</v>
      </c>
      <c r="D224" t="s">
        <v>1288</v>
      </c>
      <c r="E224" t="s">
        <v>1068</v>
      </c>
      <c r="F224" s="8" t="s">
        <v>2284</v>
      </c>
      <c r="G224" t="str">
        <f t="shared" si="23"/>
        <v>(9952,</v>
      </c>
      <c r="H224" t="str">
        <f t="shared" si="24"/>
        <v>84,</v>
      </c>
      <c r="I224" t="str">
        <f t="shared" si="25"/>
        <v>'AMZN',</v>
      </c>
      <c r="J224" t="str">
        <f t="shared" si="26"/>
        <v>440.16,</v>
      </c>
      <c r="K224" t="str">
        <f t="shared" si="27"/>
        <v>'BUY',</v>
      </c>
      <c r="L224" t="str">
        <f t="shared" si="28"/>
        <v>'2024-01-20 02:30:00'),</v>
      </c>
      <c r="M224" t="str">
        <f t="shared" si="29"/>
        <v>(9952,84,'AMZN',440.16,'BUY','2024-01-20 02:30:00'),</v>
      </c>
    </row>
    <row r="225" spans="1:13" x14ac:dyDescent="0.2">
      <c r="A225">
        <v>4168</v>
      </c>
      <c r="B225">
        <v>483</v>
      </c>
      <c r="C225" t="s">
        <v>1060</v>
      </c>
      <c r="D225" t="s">
        <v>1289</v>
      </c>
      <c r="E225" t="s">
        <v>1062</v>
      </c>
      <c r="F225" s="8" t="s">
        <v>2285</v>
      </c>
      <c r="G225" t="str">
        <f t="shared" si="23"/>
        <v>(4168,</v>
      </c>
      <c r="H225" t="str">
        <f t="shared" si="24"/>
        <v>483,</v>
      </c>
      <c r="I225" t="str">
        <f t="shared" si="25"/>
        <v>'TSLA',</v>
      </c>
      <c r="J225" t="str">
        <f t="shared" si="26"/>
        <v>656.42,</v>
      </c>
      <c r="K225" t="str">
        <f t="shared" si="27"/>
        <v>'SELL',</v>
      </c>
      <c r="L225" t="str">
        <f t="shared" si="28"/>
        <v>'2024-05-25 16:24:00'),</v>
      </c>
      <c r="M225" t="str">
        <f t="shared" si="29"/>
        <v>(4168,483,'TSLA',656.42,'SELL','2024-05-25 16:24:00'),</v>
      </c>
    </row>
    <row r="226" spans="1:13" x14ac:dyDescent="0.2">
      <c r="A226">
        <v>7922</v>
      </c>
      <c r="B226">
        <v>831</v>
      </c>
      <c r="C226" t="s">
        <v>1066</v>
      </c>
      <c r="D226" t="s">
        <v>1290</v>
      </c>
      <c r="E226" t="s">
        <v>1068</v>
      </c>
      <c r="F226" s="8" t="s">
        <v>2286</v>
      </c>
      <c r="G226" t="str">
        <f t="shared" si="23"/>
        <v>(7922,</v>
      </c>
      <c r="H226" t="str">
        <f t="shared" si="24"/>
        <v>831,</v>
      </c>
      <c r="I226" t="str">
        <f t="shared" si="25"/>
        <v>'AMZN',</v>
      </c>
      <c r="J226" t="str">
        <f t="shared" si="26"/>
        <v>307.19,</v>
      </c>
      <c r="K226" t="str">
        <f t="shared" si="27"/>
        <v>'BUY',</v>
      </c>
      <c r="L226" t="str">
        <f t="shared" si="28"/>
        <v>'2024-05-22 13:11:00'),</v>
      </c>
      <c r="M226" t="str">
        <f t="shared" si="29"/>
        <v>(7922,831,'AMZN',307.19,'BUY','2024-05-22 13:11:00'),</v>
      </c>
    </row>
    <row r="227" spans="1:13" x14ac:dyDescent="0.2">
      <c r="A227">
        <v>6298</v>
      </c>
      <c r="B227">
        <v>513</v>
      </c>
      <c r="C227" t="s">
        <v>1060</v>
      </c>
      <c r="D227" t="s">
        <v>1291</v>
      </c>
      <c r="E227" t="s">
        <v>1068</v>
      </c>
      <c r="F227" s="8" t="s">
        <v>2287</v>
      </c>
      <c r="G227" t="str">
        <f t="shared" si="23"/>
        <v>(6298,</v>
      </c>
      <c r="H227" t="str">
        <f t="shared" si="24"/>
        <v>513,</v>
      </c>
      <c r="I227" t="str">
        <f t="shared" si="25"/>
        <v>'TSLA',</v>
      </c>
      <c r="J227" t="str">
        <f t="shared" si="26"/>
        <v>779.23,</v>
      </c>
      <c r="K227" t="str">
        <f t="shared" si="27"/>
        <v>'BUY',</v>
      </c>
      <c r="L227" t="str">
        <f t="shared" si="28"/>
        <v>'2024-02-21 22:10:00'),</v>
      </c>
      <c r="M227" t="str">
        <f t="shared" si="29"/>
        <v>(6298,513,'TSLA',779.23,'BUY','2024-02-21 22:10:00'),</v>
      </c>
    </row>
    <row r="228" spans="1:13" x14ac:dyDescent="0.2">
      <c r="A228">
        <v>4669</v>
      </c>
      <c r="B228">
        <v>304</v>
      </c>
      <c r="C228" t="s">
        <v>1069</v>
      </c>
      <c r="D228" t="s">
        <v>1292</v>
      </c>
      <c r="E228" t="s">
        <v>1062</v>
      </c>
      <c r="F228" s="8" t="s">
        <v>2288</v>
      </c>
      <c r="G228" t="str">
        <f t="shared" si="23"/>
        <v>(4669,</v>
      </c>
      <c r="H228" t="str">
        <f t="shared" si="24"/>
        <v>304,</v>
      </c>
      <c r="I228" t="str">
        <f t="shared" si="25"/>
        <v>'MSFT',</v>
      </c>
      <c r="J228" t="str">
        <f t="shared" si="26"/>
        <v>716.47,</v>
      </c>
      <c r="K228" t="str">
        <f t="shared" si="27"/>
        <v>'SELL',</v>
      </c>
      <c r="L228" t="str">
        <f t="shared" si="28"/>
        <v>'2024-01-06 19:33:00'),</v>
      </c>
      <c r="M228" t="str">
        <f t="shared" si="29"/>
        <v>(4669,304,'MSFT',716.47,'SELL','2024-01-06 19:33:00'),</v>
      </c>
    </row>
    <row r="229" spans="1:13" x14ac:dyDescent="0.2">
      <c r="A229">
        <v>4168</v>
      </c>
      <c r="B229">
        <v>420</v>
      </c>
      <c r="C229" t="s">
        <v>1069</v>
      </c>
      <c r="D229" t="s">
        <v>1293</v>
      </c>
      <c r="E229" t="s">
        <v>1062</v>
      </c>
      <c r="F229" s="8" t="s">
        <v>2289</v>
      </c>
      <c r="G229" t="str">
        <f t="shared" si="23"/>
        <v>(4168,</v>
      </c>
      <c r="H229" t="str">
        <f t="shared" si="24"/>
        <v>420,</v>
      </c>
      <c r="I229" t="str">
        <f t="shared" si="25"/>
        <v>'MSFT',</v>
      </c>
      <c r="J229" t="str">
        <f t="shared" si="26"/>
        <v>158.32,</v>
      </c>
      <c r="K229" t="str">
        <f t="shared" si="27"/>
        <v>'SELL',</v>
      </c>
      <c r="L229" t="str">
        <f t="shared" si="28"/>
        <v>'2024-05-21 12:44:00'),</v>
      </c>
      <c r="M229" t="str">
        <f t="shared" si="29"/>
        <v>(4168,420,'MSFT',158.32,'SELL','2024-05-21 12:44:00'),</v>
      </c>
    </row>
    <row r="230" spans="1:13" x14ac:dyDescent="0.2">
      <c r="A230">
        <v>5705</v>
      </c>
      <c r="B230">
        <v>223</v>
      </c>
      <c r="C230" t="s">
        <v>1060</v>
      </c>
      <c r="D230" t="s">
        <v>1294</v>
      </c>
      <c r="E230" t="s">
        <v>1062</v>
      </c>
      <c r="F230" s="8" t="s">
        <v>2290</v>
      </c>
      <c r="G230" t="str">
        <f t="shared" si="23"/>
        <v>(5705,</v>
      </c>
      <c r="H230" t="str">
        <f t="shared" si="24"/>
        <v>223,</v>
      </c>
      <c r="I230" t="str">
        <f t="shared" si="25"/>
        <v>'TSLA',</v>
      </c>
      <c r="J230" t="str">
        <f t="shared" si="26"/>
        <v>929.23,</v>
      </c>
      <c r="K230" t="str">
        <f t="shared" si="27"/>
        <v>'SELL',</v>
      </c>
      <c r="L230" t="str">
        <f t="shared" si="28"/>
        <v>'2024-05-15 15:19:00'),</v>
      </c>
      <c r="M230" t="str">
        <f t="shared" si="29"/>
        <v>(5705,223,'TSLA',929.23,'SELL','2024-05-15 15:19:00'),</v>
      </c>
    </row>
    <row r="231" spans="1:13" x14ac:dyDescent="0.2">
      <c r="A231">
        <v>5297</v>
      </c>
      <c r="B231">
        <v>834</v>
      </c>
      <c r="C231" t="s">
        <v>1066</v>
      </c>
      <c r="D231" t="s">
        <v>1295</v>
      </c>
      <c r="E231" t="s">
        <v>1068</v>
      </c>
      <c r="F231" s="8" t="s">
        <v>2291</v>
      </c>
      <c r="G231" t="str">
        <f t="shared" si="23"/>
        <v>(5297,</v>
      </c>
      <c r="H231" t="str">
        <f t="shared" si="24"/>
        <v>834,</v>
      </c>
      <c r="I231" t="str">
        <f t="shared" si="25"/>
        <v>'AMZN',</v>
      </c>
      <c r="J231" t="str">
        <f t="shared" si="26"/>
        <v>345.63,</v>
      </c>
      <c r="K231" t="str">
        <f t="shared" si="27"/>
        <v>'BUY',</v>
      </c>
      <c r="L231" t="str">
        <f t="shared" si="28"/>
        <v>'2024-05-10 10:58:00'),</v>
      </c>
      <c r="M231" t="str">
        <f t="shared" si="29"/>
        <v>(5297,834,'AMZN',345.63,'BUY','2024-05-10 10:58:00'),</v>
      </c>
    </row>
    <row r="232" spans="1:13" x14ac:dyDescent="0.2">
      <c r="A232">
        <v>9952</v>
      </c>
      <c r="B232">
        <v>791</v>
      </c>
      <c r="C232" t="s">
        <v>1063</v>
      </c>
      <c r="D232" t="s">
        <v>1296</v>
      </c>
      <c r="E232" t="s">
        <v>1068</v>
      </c>
      <c r="F232" s="8" t="s">
        <v>2292</v>
      </c>
      <c r="G232" t="str">
        <f t="shared" si="23"/>
        <v>(9952,</v>
      </c>
      <c r="H232" t="str">
        <f t="shared" si="24"/>
        <v>791,</v>
      </c>
      <c r="I232" t="str">
        <f t="shared" si="25"/>
        <v>'META',</v>
      </c>
      <c r="J232" t="str">
        <f t="shared" si="26"/>
        <v>481.75,</v>
      </c>
      <c r="K232" t="str">
        <f t="shared" si="27"/>
        <v>'BUY',</v>
      </c>
      <c r="L232" t="str">
        <f t="shared" si="28"/>
        <v>'2024-05-28 21:15:00'),</v>
      </c>
      <c r="M232" t="str">
        <f t="shared" si="29"/>
        <v>(9952,791,'META',481.75,'BUY','2024-05-28 21:15:00'),</v>
      </c>
    </row>
    <row r="233" spans="1:13" x14ac:dyDescent="0.2">
      <c r="A233">
        <v>5258</v>
      </c>
      <c r="B233">
        <v>763</v>
      </c>
      <c r="C233" t="s">
        <v>1066</v>
      </c>
      <c r="D233" t="s">
        <v>1297</v>
      </c>
      <c r="E233" t="s">
        <v>1068</v>
      </c>
      <c r="F233" s="8" t="s">
        <v>2293</v>
      </c>
      <c r="G233" t="str">
        <f t="shared" si="23"/>
        <v>(5258,</v>
      </c>
      <c r="H233" t="str">
        <f t="shared" si="24"/>
        <v>763,</v>
      </c>
      <c r="I233" t="str">
        <f t="shared" si="25"/>
        <v>'AMZN',</v>
      </c>
      <c r="J233" t="str">
        <f t="shared" si="26"/>
        <v>177.93,</v>
      </c>
      <c r="K233" t="str">
        <f t="shared" si="27"/>
        <v>'BUY',</v>
      </c>
      <c r="L233" t="str">
        <f t="shared" si="28"/>
        <v>'2024-04-06 04:17:00'),</v>
      </c>
      <c r="M233" t="str">
        <f t="shared" si="29"/>
        <v>(5258,763,'AMZN',177.93,'BUY','2024-04-06 04:17:00'),</v>
      </c>
    </row>
    <row r="234" spans="1:13" x14ac:dyDescent="0.2">
      <c r="A234">
        <v>2941</v>
      </c>
      <c r="B234">
        <v>14</v>
      </c>
      <c r="C234" t="s">
        <v>1069</v>
      </c>
      <c r="D234" t="s">
        <v>1298</v>
      </c>
      <c r="E234" t="s">
        <v>1068</v>
      </c>
      <c r="F234" s="8" t="s">
        <v>2294</v>
      </c>
      <c r="G234" t="str">
        <f t="shared" si="23"/>
        <v>(2941,</v>
      </c>
      <c r="H234" t="str">
        <f t="shared" si="24"/>
        <v>14,</v>
      </c>
      <c r="I234" t="str">
        <f t="shared" si="25"/>
        <v>'MSFT',</v>
      </c>
      <c r="J234" t="str">
        <f t="shared" si="26"/>
        <v>569.52,</v>
      </c>
      <c r="K234" t="str">
        <f t="shared" si="27"/>
        <v>'BUY',</v>
      </c>
      <c r="L234" t="str">
        <f t="shared" si="28"/>
        <v>'2024-05-08 06:36:00'),</v>
      </c>
      <c r="M234" t="str">
        <f t="shared" si="29"/>
        <v>(2941,14,'MSFT',569.52,'BUY','2024-05-08 06:36:00'),</v>
      </c>
    </row>
    <row r="235" spans="1:13" x14ac:dyDescent="0.2">
      <c r="A235">
        <v>9094</v>
      </c>
      <c r="B235">
        <v>281</v>
      </c>
      <c r="C235" t="s">
        <v>1069</v>
      </c>
      <c r="D235" t="s">
        <v>1299</v>
      </c>
      <c r="E235" t="s">
        <v>1062</v>
      </c>
      <c r="F235" s="8" t="s">
        <v>2295</v>
      </c>
      <c r="G235" t="str">
        <f t="shared" si="23"/>
        <v>(9094,</v>
      </c>
      <c r="H235" t="str">
        <f t="shared" si="24"/>
        <v>281,</v>
      </c>
      <c r="I235" t="str">
        <f t="shared" si="25"/>
        <v>'MSFT',</v>
      </c>
      <c r="J235" t="str">
        <f t="shared" si="26"/>
        <v>612.11,</v>
      </c>
      <c r="K235" t="str">
        <f t="shared" si="27"/>
        <v>'SELL',</v>
      </c>
      <c r="L235" t="str">
        <f t="shared" si="28"/>
        <v>'2024-03-04 20:21:00'),</v>
      </c>
      <c r="M235" t="str">
        <f t="shared" si="29"/>
        <v>(9094,281,'MSFT',612.11,'SELL','2024-03-04 20:21:00'),</v>
      </c>
    </row>
    <row r="236" spans="1:13" x14ac:dyDescent="0.2">
      <c r="A236">
        <v>5705</v>
      </c>
      <c r="B236">
        <v>18</v>
      </c>
      <c r="C236" t="s">
        <v>1066</v>
      </c>
      <c r="D236" t="s">
        <v>1300</v>
      </c>
      <c r="E236" t="s">
        <v>1068</v>
      </c>
      <c r="F236" s="8" t="s">
        <v>2296</v>
      </c>
      <c r="G236" t="str">
        <f t="shared" si="23"/>
        <v>(5705,</v>
      </c>
      <c r="H236" t="str">
        <f t="shared" si="24"/>
        <v>18,</v>
      </c>
      <c r="I236" t="str">
        <f t="shared" si="25"/>
        <v>'AMZN',</v>
      </c>
      <c r="J236" t="str">
        <f t="shared" si="26"/>
        <v>957.14,</v>
      </c>
      <c r="K236" t="str">
        <f t="shared" si="27"/>
        <v>'BUY',</v>
      </c>
      <c r="L236" t="str">
        <f t="shared" si="28"/>
        <v>'2024-03-29 15:32:00'),</v>
      </c>
      <c r="M236" t="str">
        <f t="shared" si="29"/>
        <v>(5705,18,'AMZN',957.14,'BUY','2024-03-29 15:32:00'),</v>
      </c>
    </row>
    <row r="237" spans="1:13" x14ac:dyDescent="0.2">
      <c r="A237">
        <v>9094</v>
      </c>
      <c r="B237">
        <v>55</v>
      </c>
      <c r="C237" t="s">
        <v>1063</v>
      </c>
      <c r="D237" t="s">
        <v>1301</v>
      </c>
      <c r="E237" t="s">
        <v>1068</v>
      </c>
      <c r="F237" s="8" t="s">
        <v>2297</v>
      </c>
      <c r="G237" t="str">
        <f t="shared" si="23"/>
        <v>(9094,</v>
      </c>
      <c r="H237" t="str">
        <f t="shared" si="24"/>
        <v>55,</v>
      </c>
      <c r="I237" t="str">
        <f t="shared" si="25"/>
        <v>'META',</v>
      </c>
      <c r="J237" t="str">
        <f t="shared" si="26"/>
        <v>508.46,</v>
      </c>
      <c r="K237" t="str">
        <f t="shared" si="27"/>
        <v>'BUY',</v>
      </c>
      <c r="L237" t="str">
        <f t="shared" si="28"/>
        <v>'2024-05-18 22:05:00'),</v>
      </c>
      <c r="M237" t="str">
        <f t="shared" si="29"/>
        <v>(9094,55,'META',508.46,'BUY','2024-05-18 22:05:00'),</v>
      </c>
    </row>
    <row r="238" spans="1:13" x14ac:dyDescent="0.2">
      <c r="A238">
        <v>7531</v>
      </c>
      <c r="B238">
        <v>636</v>
      </c>
      <c r="C238" t="s">
        <v>1060</v>
      </c>
      <c r="D238" t="s">
        <v>1302</v>
      </c>
      <c r="E238" t="s">
        <v>1068</v>
      </c>
      <c r="F238" s="8" t="s">
        <v>2298</v>
      </c>
      <c r="G238" t="str">
        <f t="shared" si="23"/>
        <v>(7531,</v>
      </c>
      <c r="H238" t="str">
        <f t="shared" si="24"/>
        <v>636,</v>
      </c>
      <c r="I238" t="str">
        <f t="shared" si="25"/>
        <v>'TSLA',</v>
      </c>
      <c r="J238" t="str">
        <f t="shared" si="26"/>
        <v>297.35,</v>
      </c>
      <c r="K238" t="str">
        <f t="shared" si="27"/>
        <v>'BUY',</v>
      </c>
      <c r="L238" t="str">
        <f t="shared" si="28"/>
        <v>'2024-04-29 05:35:00'),</v>
      </c>
      <c r="M238" t="str">
        <f t="shared" si="29"/>
        <v>(7531,636,'TSLA',297.35,'BUY','2024-04-29 05:35:00'),</v>
      </c>
    </row>
    <row r="239" spans="1:13" x14ac:dyDescent="0.2">
      <c r="A239">
        <v>5297</v>
      </c>
      <c r="B239">
        <v>681</v>
      </c>
      <c r="C239" t="s">
        <v>1063</v>
      </c>
      <c r="D239" t="s">
        <v>1303</v>
      </c>
      <c r="E239" t="s">
        <v>1062</v>
      </c>
      <c r="F239" s="8" t="s">
        <v>2299</v>
      </c>
      <c r="G239" t="str">
        <f t="shared" si="23"/>
        <v>(5297,</v>
      </c>
      <c r="H239" t="str">
        <f t="shared" si="24"/>
        <v>681,</v>
      </c>
      <c r="I239" t="str">
        <f t="shared" si="25"/>
        <v>'META',</v>
      </c>
      <c r="J239" t="str">
        <f t="shared" si="26"/>
        <v>418.13,</v>
      </c>
      <c r="K239" t="str">
        <f t="shared" si="27"/>
        <v>'SELL',</v>
      </c>
      <c r="L239" t="str">
        <f t="shared" si="28"/>
        <v>'2024-02-23 18:44:00'),</v>
      </c>
      <c r="M239" t="str">
        <f t="shared" si="29"/>
        <v>(5297,681,'META',418.13,'SELL','2024-02-23 18:44:00'),</v>
      </c>
    </row>
    <row r="240" spans="1:13" x14ac:dyDescent="0.2">
      <c r="A240">
        <v>7922</v>
      </c>
      <c r="B240">
        <v>621</v>
      </c>
      <c r="C240" t="s">
        <v>1060</v>
      </c>
      <c r="D240" t="s">
        <v>1304</v>
      </c>
      <c r="E240" t="s">
        <v>1062</v>
      </c>
      <c r="F240" s="8" t="s">
        <v>2300</v>
      </c>
      <c r="G240" t="str">
        <f t="shared" si="23"/>
        <v>(7922,</v>
      </c>
      <c r="H240" t="str">
        <f t="shared" si="24"/>
        <v>621,</v>
      </c>
      <c r="I240" t="str">
        <f t="shared" si="25"/>
        <v>'TSLA',</v>
      </c>
      <c r="J240" t="str">
        <f t="shared" si="26"/>
        <v>277.64,</v>
      </c>
      <c r="K240" t="str">
        <f t="shared" si="27"/>
        <v>'SELL',</v>
      </c>
      <c r="L240" t="str">
        <f t="shared" si="28"/>
        <v>'2024-02-14 10:05:00'),</v>
      </c>
      <c r="M240" t="str">
        <f t="shared" si="29"/>
        <v>(7922,621,'TSLA',277.64,'SELL','2024-02-14 10:05:00'),</v>
      </c>
    </row>
    <row r="241" spans="1:13" x14ac:dyDescent="0.2">
      <c r="A241">
        <v>7531</v>
      </c>
      <c r="B241">
        <v>886</v>
      </c>
      <c r="C241" t="s">
        <v>1060</v>
      </c>
      <c r="D241" t="s">
        <v>1305</v>
      </c>
      <c r="E241" t="s">
        <v>1062</v>
      </c>
      <c r="F241" s="8" t="s">
        <v>2301</v>
      </c>
      <c r="G241" t="str">
        <f t="shared" si="23"/>
        <v>(7531,</v>
      </c>
      <c r="H241" t="str">
        <f t="shared" si="24"/>
        <v>886,</v>
      </c>
      <c r="I241" t="str">
        <f t="shared" si="25"/>
        <v>'TSLA',</v>
      </c>
      <c r="J241" t="str">
        <f t="shared" si="26"/>
        <v>854.78,</v>
      </c>
      <c r="K241" t="str">
        <f t="shared" si="27"/>
        <v>'SELL',</v>
      </c>
      <c r="L241" t="str">
        <f t="shared" si="28"/>
        <v>'2024-03-08 03:52:00'),</v>
      </c>
      <c r="M241" t="str">
        <f t="shared" si="29"/>
        <v>(7531,886,'TSLA',854.78,'SELL','2024-03-08 03:52:00'),</v>
      </c>
    </row>
    <row r="242" spans="1:13" x14ac:dyDescent="0.2">
      <c r="A242">
        <v>4168</v>
      </c>
      <c r="B242">
        <v>612</v>
      </c>
      <c r="C242" t="s">
        <v>1066</v>
      </c>
      <c r="D242" t="s">
        <v>1306</v>
      </c>
      <c r="E242" t="s">
        <v>1068</v>
      </c>
      <c r="F242" s="8" t="s">
        <v>2302</v>
      </c>
      <c r="G242" t="str">
        <f t="shared" si="23"/>
        <v>(4168,</v>
      </c>
      <c r="H242" t="str">
        <f t="shared" si="24"/>
        <v>612,</v>
      </c>
      <c r="I242" t="str">
        <f t="shared" si="25"/>
        <v>'AMZN',</v>
      </c>
      <c r="J242" t="str">
        <f t="shared" si="26"/>
        <v>634.94,</v>
      </c>
      <c r="K242" t="str">
        <f t="shared" si="27"/>
        <v>'BUY',</v>
      </c>
      <c r="L242" t="str">
        <f t="shared" si="28"/>
        <v>'2024-03-22 20:58:00'),</v>
      </c>
      <c r="M242" t="str">
        <f t="shared" si="29"/>
        <v>(4168,612,'AMZN',634.94,'BUY','2024-03-22 20:58:00'),</v>
      </c>
    </row>
    <row r="243" spans="1:13" x14ac:dyDescent="0.2">
      <c r="A243">
        <v>5297</v>
      </c>
      <c r="B243">
        <v>539</v>
      </c>
      <c r="C243" t="s">
        <v>1069</v>
      </c>
      <c r="D243" t="s">
        <v>1307</v>
      </c>
      <c r="E243" t="s">
        <v>1068</v>
      </c>
      <c r="F243" s="8" t="s">
        <v>2303</v>
      </c>
      <c r="G243" t="str">
        <f t="shared" si="23"/>
        <v>(5297,</v>
      </c>
      <c r="H243" t="str">
        <f t="shared" si="24"/>
        <v>539,</v>
      </c>
      <c r="I243" t="str">
        <f t="shared" si="25"/>
        <v>'MSFT',</v>
      </c>
      <c r="J243" t="str">
        <f t="shared" si="26"/>
        <v>219.05,</v>
      </c>
      <c r="K243" t="str">
        <f t="shared" si="27"/>
        <v>'BUY',</v>
      </c>
      <c r="L243" t="str">
        <f t="shared" si="28"/>
        <v>'2024-03-07 18:55:00'),</v>
      </c>
      <c r="M243" t="str">
        <f t="shared" si="29"/>
        <v>(5297,539,'MSFT',219.05,'BUY','2024-03-07 18:55:00'),</v>
      </c>
    </row>
    <row r="244" spans="1:13" x14ac:dyDescent="0.2">
      <c r="A244">
        <v>6298</v>
      </c>
      <c r="B244">
        <v>272</v>
      </c>
      <c r="C244" t="s">
        <v>1063</v>
      </c>
      <c r="D244" t="s">
        <v>1308</v>
      </c>
      <c r="E244" t="s">
        <v>1062</v>
      </c>
      <c r="F244" s="8" t="s">
        <v>2304</v>
      </c>
      <c r="G244" t="str">
        <f t="shared" si="23"/>
        <v>(6298,</v>
      </c>
      <c r="H244" t="str">
        <f t="shared" si="24"/>
        <v>272,</v>
      </c>
      <c r="I244" t="str">
        <f t="shared" si="25"/>
        <v>'META',</v>
      </c>
      <c r="J244" t="str">
        <f t="shared" si="26"/>
        <v>647.04,</v>
      </c>
      <c r="K244" t="str">
        <f t="shared" si="27"/>
        <v>'SELL',</v>
      </c>
      <c r="L244" t="str">
        <f t="shared" si="28"/>
        <v>'2024-01-29 13:08:00'),</v>
      </c>
      <c r="M244" t="str">
        <f t="shared" si="29"/>
        <v>(6298,272,'META',647.04,'SELL','2024-01-29 13:08:00'),</v>
      </c>
    </row>
    <row r="245" spans="1:13" x14ac:dyDescent="0.2">
      <c r="A245">
        <v>7531</v>
      </c>
      <c r="B245">
        <v>949</v>
      </c>
      <c r="C245" t="s">
        <v>1063</v>
      </c>
      <c r="D245" t="s">
        <v>1309</v>
      </c>
      <c r="E245" t="s">
        <v>1062</v>
      </c>
      <c r="F245" s="8" t="s">
        <v>2305</v>
      </c>
      <c r="G245" t="str">
        <f t="shared" si="23"/>
        <v>(7531,</v>
      </c>
      <c r="H245" t="str">
        <f t="shared" si="24"/>
        <v>949,</v>
      </c>
      <c r="I245" t="str">
        <f t="shared" si="25"/>
        <v>'META',</v>
      </c>
      <c r="J245" t="str">
        <f t="shared" si="26"/>
        <v>100.7,</v>
      </c>
      <c r="K245" t="str">
        <f t="shared" si="27"/>
        <v>'SELL',</v>
      </c>
      <c r="L245" t="str">
        <f t="shared" si="28"/>
        <v>'2024-05-18 08:50:00'),</v>
      </c>
      <c r="M245" t="str">
        <f t="shared" si="29"/>
        <v>(7531,949,'META',100.7,'SELL','2024-05-18 08:50:00'),</v>
      </c>
    </row>
    <row r="246" spans="1:13" x14ac:dyDescent="0.2">
      <c r="A246">
        <v>9952</v>
      </c>
      <c r="B246">
        <v>865</v>
      </c>
      <c r="C246" t="s">
        <v>1066</v>
      </c>
      <c r="D246" t="s">
        <v>1310</v>
      </c>
      <c r="E246" t="s">
        <v>1062</v>
      </c>
      <c r="F246" s="8" t="s">
        <v>2306</v>
      </c>
      <c r="G246" t="str">
        <f t="shared" si="23"/>
        <v>(9952,</v>
      </c>
      <c r="H246" t="str">
        <f t="shared" si="24"/>
        <v>865,</v>
      </c>
      <c r="I246" t="str">
        <f t="shared" si="25"/>
        <v>'AMZN',</v>
      </c>
      <c r="J246" t="str">
        <f t="shared" si="26"/>
        <v>734.83,</v>
      </c>
      <c r="K246" t="str">
        <f t="shared" si="27"/>
        <v>'SELL',</v>
      </c>
      <c r="L246" t="str">
        <f t="shared" si="28"/>
        <v>'2024-01-20 00:07:00'),</v>
      </c>
      <c r="M246" t="str">
        <f t="shared" si="29"/>
        <v>(9952,865,'AMZN',734.83,'SELL','2024-01-20 00:07:00'),</v>
      </c>
    </row>
    <row r="247" spans="1:13" x14ac:dyDescent="0.2">
      <c r="A247">
        <v>4710</v>
      </c>
      <c r="B247">
        <v>720</v>
      </c>
      <c r="C247" t="s">
        <v>1060</v>
      </c>
      <c r="D247" t="s">
        <v>1311</v>
      </c>
      <c r="E247" t="s">
        <v>1068</v>
      </c>
      <c r="F247" s="8" t="s">
        <v>2307</v>
      </c>
      <c r="G247" t="str">
        <f t="shared" si="23"/>
        <v>(4710,</v>
      </c>
      <c r="H247" t="str">
        <f t="shared" si="24"/>
        <v>720,</v>
      </c>
      <c r="I247" t="str">
        <f t="shared" si="25"/>
        <v>'TSLA',</v>
      </c>
      <c r="J247" t="str">
        <f t="shared" si="26"/>
        <v>325.74,</v>
      </c>
      <c r="K247" t="str">
        <f t="shared" si="27"/>
        <v>'BUY',</v>
      </c>
      <c r="L247" t="str">
        <f t="shared" si="28"/>
        <v>'2024-01-28 17:53:00'),</v>
      </c>
      <c r="M247" t="str">
        <f t="shared" si="29"/>
        <v>(4710,720,'TSLA',325.74,'BUY','2024-01-28 17:53:00'),</v>
      </c>
    </row>
    <row r="248" spans="1:13" x14ac:dyDescent="0.2">
      <c r="A248">
        <v>5751</v>
      </c>
      <c r="B248">
        <v>534</v>
      </c>
      <c r="C248" t="s">
        <v>1066</v>
      </c>
      <c r="D248" t="s">
        <v>1312</v>
      </c>
      <c r="E248" t="s">
        <v>1068</v>
      </c>
      <c r="F248" s="8" t="s">
        <v>2308</v>
      </c>
      <c r="G248" t="str">
        <f t="shared" si="23"/>
        <v>(5751,</v>
      </c>
      <c r="H248" t="str">
        <f t="shared" si="24"/>
        <v>534,</v>
      </c>
      <c r="I248" t="str">
        <f t="shared" si="25"/>
        <v>'AMZN',</v>
      </c>
      <c r="J248" t="str">
        <f t="shared" si="26"/>
        <v>815.94,</v>
      </c>
      <c r="K248" t="str">
        <f t="shared" si="27"/>
        <v>'BUY',</v>
      </c>
      <c r="L248" t="str">
        <f t="shared" si="28"/>
        <v>'2024-02-28 08:52:00'),</v>
      </c>
      <c r="M248" t="str">
        <f t="shared" si="29"/>
        <v>(5751,534,'AMZN',815.94,'BUY','2024-02-28 08:52:00'),</v>
      </c>
    </row>
    <row r="249" spans="1:13" x14ac:dyDescent="0.2">
      <c r="A249">
        <v>5751</v>
      </c>
      <c r="B249">
        <v>390</v>
      </c>
      <c r="C249" t="s">
        <v>1066</v>
      </c>
      <c r="D249" t="s">
        <v>1313</v>
      </c>
      <c r="E249" t="s">
        <v>1068</v>
      </c>
      <c r="F249" s="8" t="s">
        <v>2309</v>
      </c>
      <c r="G249" t="str">
        <f t="shared" si="23"/>
        <v>(5751,</v>
      </c>
      <c r="H249" t="str">
        <f t="shared" si="24"/>
        <v>390,</v>
      </c>
      <c r="I249" t="str">
        <f t="shared" si="25"/>
        <v>'AMZN',</v>
      </c>
      <c r="J249" t="str">
        <f t="shared" si="26"/>
        <v>356.92,</v>
      </c>
      <c r="K249" t="str">
        <f t="shared" si="27"/>
        <v>'BUY',</v>
      </c>
      <c r="L249" t="str">
        <f t="shared" si="28"/>
        <v>'2024-05-26 01:12:00'),</v>
      </c>
      <c r="M249" t="str">
        <f t="shared" si="29"/>
        <v>(5751,390,'AMZN',356.92,'BUY','2024-05-26 01:12:00'),</v>
      </c>
    </row>
    <row r="250" spans="1:13" x14ac:dyDescent="0.2">
      <c r="A250">
        <v>5258</v>
      </c>
      <c r="B250">
        <v>315</v>
      </c>
      <c r="C250" t="s">
        <v>1066</v>
      </c>
      <c r="D250" t="s">
        <v>1314</v>
      </c>
      <c r="E250" t="s">
        <v>1068</v>
      </c>
      <c r="F250" s="8" t="s">
        <v>2310</v>
      </c>
      <c r="G250" t="str">
        <f t="shared" si="23"/>
        <v>(5258,</v>
      </c>
      <c r="H250" t="str">
        <f t="shared" si="24"/>
        <v>315,</v>
      </c>
      <c r="I250" t="str">
        <f t="shared" si="25"/>
        <v>'AMZN',</v>
      </c>
      <c r="J250" t="str">
        <f t="shared" si="26"/>
        <v>633.68,</v>
      </c>
      <c r="K250" t="str">
        <f t="shared" si="27"/>
        <v>'BUY',</v>
      </c>
      <c r="L250" t="str">
        <f t="shared" si="28"/>
        <v>'2024-05-15 11:58:00'),</v>
      </c>
      <c r="M250" t="str">
        <f t="shared" si="29"/>
        <v>(5258,315,'AMZN',633.68,'BUY','2024-05-15 11:58:00'),</v>
      </c>
    </row>
    <row r="251" spans="1:13" x14ac:dyDescent="0.2">
      <c r="A251">
        <v>9952</v>
      </c>
      <c r="B251">
        <v>59</v>
      </c>
      <c r="C251" t="s">
        <v>1060</v>
      </c>
      <c r="D251" t="s">
        <v>1315</v>
      </c>
      <c r="E251" t="s">
        <v>1062</v>
      </c>
      <c r="F251" s="8" t="s">
        <v>2311</v>
      </c>
      <c r="G251" t="str">
        <f t="shared" si="23"/>
        <v>(9952,</v>
      </c>
      <c r="H251" t="str">
        <f t="shared" si="24"/>
        <v>59,</v>
      </c>
      <c r="I251" t="str">
        <f t="shared" si="25"/>
        <v>'TSLA',</v>
      </c>
      <c r="J251" t="str">
        <f t="shared" si="26"/>
        <v>222.14,</v>
      </c>
      <c r="K251" t="str">
        <f t="shared" si="27"/>
        <v>'SELL',</v>
      </c>
      <c r="L251" t="str">
        <f t="shared" si="28"/>
        <v>'2024-02-19 16:22:00'),</v>
      </c>
      <c r="M251" t="str">
        <f t="shared" si="29"/>
        <v>(9952,59,'TSLA',222.14,'SELL','2024-02-19 16:22:00'),</v>
      </c>
    </row>
    <row r="252" spans="1:13" x14ac:dyDescent="0.2">
      <c r="A252">
        <v>9094</v>
      </c>
      <c r="B252">
        <v>475</v>
      </c>
      <c r="C252" t="s">
        <v>1060</v>
      </c>
      <c r="D252" t="s">
        <v>1316</v>
      </c>
      <c r="E252" t="s">
        <v>1068</v>
      </c>
      <c r="F252" s="8" t="s">
        <v>2312</v>
      </c>
      <c r="G252" t="str">
        <f t="shared" si="23"/>
        <v>(9094,</v>
      </c>
      <c r="H252" t="str">
        <f t="shared" si="24"/>
        <v>475,</v>
      </c>
      <c r="I252" t="str">
        <f t="shared" si="25"/>
        <v>'TSLA',</v>
      </c>
      <c r="J252" t="str">
        <f t="shared" si="26"/>
        <v>512.38,</v>
      </c>
      <c r="K252" t="str">
        <f t="shared" si="27"/>
        <v>'BUY',</v>
      </c>
      <c r="L252" t="str">
        <f t="shared" si="28"/>
        <v>'2024-02-18 15:45:00'),</v>
      </c>
      <c r="M252" t="str">
        <f t="shared" si="29"/>
        <v>(9094,475,'TSLA',512.38,'BUY','2024-02-18 15:45:00'),</v>
      </c>
    </row>
    <row r="253" spans="1:13" x14ac:dyDescent="0.2">
      <c r="A253">
        <v>9094</v>
      </c>
      <c r="B253">
        <v>741</v>
      </c>
      <c r="C253" t="s">
        <v>1066</v>
      </c>
      <c r="D253" t="s">
        <v>1317</v>
      </c>
      <c r="E253" t="s">
        <v>1062</v>
      </c>
      <c r="F253" s="8" t="s">
        <v>2313</v>
      </c>
      <c r="G253" t="str">
        <f t="shared" si="23"/>
        <v>(9094,</v>
      </c>
      <c r="H253" t="str">
        <f t="shared" si="24"/>
        <v>741,</v>
      </c>
      <c r="I253" t="str">
        <f t="shared" si="25"/>
        <v>'AMZN',</v>
      </c>
      <c r="J253" t="str">
        <f t="shared" si="26"/>
        <v>970.07,</v>
      </c>
      <c r="K253" t="str">
        <f t="shared" si="27"/>
        <v>'SELL',</v>
      </c>
      <c r="L253" t="str">
        <f t="shared" si="28"/>
        <v>'2024-03-05 21:44:00'),</v>
      </c>
      <c r="M253" t="str">
        <f t="shared" si="29"/>
        <v>(9094,741,'AMZN',970.07,'SELL','2024-03-05 21:44:00'),</v>
      </c>
    </row>
    <row r="254" spans="1:13" x14ac:dyDescent="0.2">
      <c r="A254">
        <v>5258</v>
      </c>
      <c r="B254">
        <v>948</v>
      </c>
      <c r="C254" t="s">
        <v>1060</v>
      </c>
      <c r="D254" t="s">
        <v>1318</v>
      </c>
      <c r="E254" t="s">
        <v>1062</v>
      </c>
      <c r="F254" s="8" t="s">
        <v>2314</v>
      </c>
      <c r="G254" t="str">
        <f t="shared" si="23"/>
        <v>(5258,</v>
      </c>
      <c r="H254" t="str">
        <f t="shared" si="24"/>
        <v>948,</v>
      </c>
      <c r="I254" t="str">
        <f t="shared" si="25"/>
        <v>'TSLA',</v>
      </c>
      <c r="J254" t="str">
        <f t="shared" si="26"/>
        <v>841.66,</v>
      </c>
      <c r="K254" t="str">
        <f t="shared" si="27"/>
        <v>'SELL',</v>
      </c>
      <c r="L254" t="str">
        <f t="shared" si="28"/>
        <v>'2024-05-24 13:37:00'),</v>
      </c>
      <c r="M254" t="str">
        <f t="shared" si="29"/>
        <v>(5258,948,'TSLA',841.66,'SELL','2024-05-24 13:37:00'),</v>
      </c>
    </row>
    <row r="255" spans="1:13" x14ac:dyDescent="0.2">
      <c r="A255">
        <v>5705</v>
      </c>
      <c r="B255">
        <v>256</v>
      </c>
      <c r="C255" t="s">
        <v>1060</v>
      </c>
      <c r="D255" t="s">
        <v>1319</v>
      </c>
      <c r="E255" t="s">
        <v>1068</v>
      </c>
      <c r="F255" s="8" t="s">
        <v>2315</v>
      </c>
      <c r="G255" t="str">
        <f t="shared" si="23"/>
        <v>(5705,</v>
      </c>
      <c r="H255" t="str">
        <f t="shared" si="24"/>
        <v>256,</v>
      </c>
      <c r="I255" t="str">
        <f t="shared" si="25"/>
        <v>'TSLA',</v>
      </c>
      <c r="J255" t="str">
        <f t="shared" si="26"/>
        <v>570.4,</v>
      </c>
      <c r="K255" t="str">
        <f t="shared" si="27"/>
        <v>'BUY',</v>
      </c>
      <c r="L255" t="str">
        <f t="shared" si="28"/>
        <v>'2024-03-13 19:38:00'),</v>
      </c>
      <c r="M255" t="str">
        <f t="shared" si="29"/>
        <v>(5705,256,'TSLA',570.4,'BUY','2024-03-13 19:38:00'),</v>
      </c>
    </row>
    <row r="256" spans="1:13" x14ac:dyDescent="0.2">
      <c r="A256">
        <v>5297</v>
      </c>
      <c r="B256">
        <v>567</v>
      </c>
      <c r="C256" t="s">
        <v>1060</v>
      </c>
      <c r="D256" t="s">
        <v>1320</v>
      </c>
      <c r="E256" t="s">
        <v>1062</v>
      </c>
      <c r="F256" s="8" t="s">
        <v>2316</v>
      </c>
      <c r="G256" t="str">
        <f t="shared" si="23"/>
        <v>(5297,</v>
      </c>
      <c r="H256" t="str">
        <f t="shared" si="24"/>
        <v>567,</v>
      </c>
      <c r="I256" t="str">
        <f t="shared" si="25"/>
        <v>'TSLA',</v>
      </c>
      <c r="J256" t="str">
        <f t="shared" si="26"/>
        <v>878.39,</v>
      </c>
      <c r="K256" t="str">
        <f t="shared" si="27"/>
        <v>'SELL',</v>
      </c>
      <c r="L256" t="str">
        <f t="shared" si="28"/>
        <v>'2024-02-12 15:38:00'),</v>
      </c>
      <c r="M256" t="str">
        <f t="shared" si="29"/>
        <v>(5297,567,'TSLA',878.39,'SELL','2024-02-12 15:38:00'),</v>
      </c>
    </row>
    <row r="257" spans="1:13" x14ac:dyDescent="0.2">
      <c r="A257">
        <v>2941</v>
      </c>
      <c r="B257">
        <v>34</v>
      </c>
      <c r="C257" t="s">
        <v>1063</v>
      </c>
      <c r="D257" t="s">
        <v>1321</v>
      </c>
      <c r="E257" t="s">
        <v>1068</v>
      </c>
      <c r="F257" s="8" t="s">
        <v>2317</v>
      </c>
      <c r="G257" t="str">
        <f t="shared" si="23"/>
        <v>(2941,</v>
      </c>
      <c r="H257" t="str">
        <f t="shared" si="24"/>
        <v>34,</v>
      </c>
      <c r="I257" t="str">
        <f t="shared" si="25"/>
        <v>'META',</v>
      </c>
      <c r="J257" t="str">
        <f t="shared" si="26"/>
        <v>375.13,</v>
      </c>
      <c r="K257" t="str">
        <f t="shared" si="27"/>
        <v>'BUY',</v>
      </c>
      <c r="L257" t="str">
        <f t="shared" si="28"/>
        <v>'2024-03-20 00:22:00'),</v>
      </c>
      <c r="M257" t="str">
        <f t="shared" si="29"/>
        <v>(2941,34,'META',375.13,'BUY','2024-03-20 00:22:00'),</v>
      </c>
    </row>
    <row r="258" spans="1:13" x14ac:dyDescent="0.2">
      <c r="A258">
        <v>9952</v>
      </c>
      <c r="B258">
        <v>894</v>
      </c>
      <c r="C258" t="s">
        <v>1069</v>
      </c>
      <c r="D258" t="s">
        <v>1322</v>
      </c>
      <c r="E258" t="s">
        <v>1068</v>
      </c>
      <c r="F258" s="8" t="s">
        <v>2318</v>
      </c>
      <c r="G258" t="str">
        <f t="shared" si="23"/>
        <v>(9952,</v>
      </c>
      <c r="H258" t="str">
        <f t="shared" si="24"/>
        <v>894,</v>
      </c>
      <c r="I258" t="str">
        <f t="shared" si="25"/>
        <v>'MSFT',</v>
      </c>
      <c r="J258" t="str">
        <f t="shared" si="26"/>
        <v>792.64,</v>
      </c>
      <c r="K258" t="str">
        <f t="shared" si="27"/>
        <v>'BUY',</v>
      </c>
      <c r="L258" t="str">
        <f t="shared" si="28"/>
        <v>'2024-03-11 05:59:00'),</v>
      </c>
      <c r="M258" t="str">
        <f t="shared" si="29"/>
        <v>(9952,894,'MSFT',792.64,'BUY','2024-03-11 05:59:00'),</v>
      </c>
    </row>
    <row r="259" spans="1:13" x14ac:dyDescent="0.2">
      <c r="A259">
        <v>9094</v>
      </c>
      <c r="B259">
        <v>306</v>
      </c>
      <c r="C259" t="s">
        <v>1069</v>
      </c>
      <c r="D259" t="s">
        <v>1323</v>
      </c>
      <c r="E259" t="s">
        <v>1062</v>
      </c>
      <c r="F259" s="8" t="s">
        <v>2319</v>
      </c>
      <c r="G259" t="str">
        <f t="shared" ref="G259:G322" si="30">"("&amp;A259&amp;","</f>
        <v>(9094,</v>
      </c>
      <c r="H259" t="str">
        <f t="shared" ref="H259:H322" si="31">B259&amp;","</f>
        <v>306,</v>
      </c>
      <c r="I259" t="str">
        <f t="shared" ref="I259:I322" si="32">"'"&amp;C259&amp;"',"</f>
        <v>'MSFT',</v>
      </c>
      <c r="J259" t="str">
        <f t="shared" ref="J259:J322" si="33">D259&amp;","</f>
        <v>896.56,</v>
      </c>
      <c r="K259" t="str">
        <f t="shared" ref="K259:K322" si="34">"'"&amp;E259&amp;"',"</f>
        <v>'SELL',</v>
      </c>
      <c r="L259" t="str">
        <f t="shared" ref="L259:L322" si="35">"'"&amp;F259&amp;"'),"</f>
        <v>'2024-04-03 07:21:00'),</v>
      </c>
      <c r="M259" t="str">
        <f t="shared" ref="M259:M322" si="36">G259&amp;H259&amp;I259&amp;J259&amp;K259&amp;L259</f>
        <v>(9094,306,'MSFT',896.56,'SELL','2024-04-03 07:21:00'),</v>
      </c>
    </row>
    <row r="260" spans="1:13" x14ac:dyDescent="0.2">
      <c r="A260">
        <v>6298</v>
      </c>
      <c r="B260">
        <v>373</v>
      </c>
      <c r="C260" t="s">
        <v>1066</v>
      </c>
      <c r="D260" t="s">
        <v>1324</v>
      </c>
      <c r="E260" t="s">
        <v>1068</v>
      </c>
      <c r="F260" s="8" t="s">
        <v>2320</v>
      </c>
      <c r="G260" t="str">
        <f t="shared" si="30"/>
        <v>(6298,</v>
      </c>
      <c r="H260" t="str">
        <f t="shared" si="31"/>
        <v>373,</v>
      </c>
      <c r="I260" t="str">
        <f t="shared" si="32"/>
        <v>'AMZN',</v>
      </c>
      <c r="J260" t="str">
        <f t="shared" si="33"/>
        <v>243.3,</v>
      </c>
      <c r="K260" t="str">
        <f t="shared" si="34"/>
        <v>'BUY',</v>
      </c>
      <c r="L260" t="str">
        <f t="shared" si="35"/>
        <v>'2024-03-15 04:50:00'),</v>
      </c>
      <c r="M260" t="str">
        <f t="shared" si="36"/>
        <v>(6298,373,'AMZN',243.3,'BUY','2024-03-15 04:50:00'),</v>
      </c>
    </row>
    <row r="261" spans="1:13" x14ac:dyDescent="0.2">
      <c r="A261">
        <v>7938</v>
      </c>
      <c r="B261">
        <v>586</v>
      </c>
      <c r="C261" t="s">
        <v>1063</v>
      </c>
      <c r="D261" t="s">
        <v>1325</v>
      </c>
      <c r="E261" t="s">
        <v>1068</v>
      </c>
      <c r="F261" s="8" t="s">
        <v>2321</v>
      </c>
      <c r="G261" t="str">
        <f t="shared" si="30"/>
        <v>(7938,</v>
      </c>
      <c r="H261" t="str">
        <f t="shared" si="31"/>
        <v>586,</v>
      </c>
      <c r="I261" t="str">
        <f t="shared" si="32"/>
        <v>'META',</v>
      </c>
      <c r="J261" t="str">
        <f t="shared" si="33"/>
        <v>767.71,</v>
      </c>
      <c r="K261" t="str">
        <f t="shared" si="34"/>
        <v>'BUY',</v>
      </c>
      <c r="L261" t="str">
        <f t="shared" si="35"/>
        <v>'2024-04-25 09:01:00'),</v>
      </c>
      <c r="M261" t="str">
        <f t="shared" si="36"/>
        <v>(7938,586,'META',767.71,'BUY','2024-04-25 09:01:00'),</v>
      </c>
    </row>
    <row r="262" spans="1:13" x14ac:dyDescent="0.2">
      <c r="A262">
        <v>1691</v>
      </c>
      <c r="B262">
        <v>444</v>
      </c>
      <c r="C262" t="s">
        <v>1069</v>
      </c>
      <c r="D262" t="s">
        <v>1326</v>
      </c>
      <c r="E262" t="s">
        <v>1062</v>
      </c>
      <c r="F262" s="8" t="s">
        <v>2322</v>
      </c>
      <c r="G262" t="str">
        <f t="shared" si="30"/>
        <v>(1691,</v>
      </c>
      <c r="H262" t="str">
        <f t="shared" si="31"/>
        <v>444,</v>
      </c>
      <c r="I262" t="str">
        <f t="shared" si="32"/>
        <v>'MSFT',</v>
      </c>
      <c r="J262" t="str">
        <f t="shared" si="33"/>
        <v>165.26,</v>
      </c>
      <c r="K262" t="str">
        <f t="shared" si="34"/>
        <v>'SELL',</v>
      </c>
      <c r="L262" t="str">
        <f t="shared" si="35"/>
        <v>'2024-01-24 00:07:00'),</v>
      </c>
      <c r="M262" t="str">
        <f t="shared" si="36"/>
        <v>(1691,444,'MSFT',165.26,'SELL','2024-01-24 00:07:00'),</v>
      </c>
    </row>
    <row r="263" spans="1:13" x14ac:dyDescent="0.2">
      <c r="A263">
        <v>6298</v>
      </c>
      <c r="B263">
        <v>656</v>
      </c>
      <c r="C263" t="s">
        <v>1060</v>
      </c>
      <c r="D263" t="s">
        <v>1327</v>
      </c>
      <c r="E263" t="s">
        <v>1062</v>
      </c>
      <c r="F263" s="8" t="s">
        <v>2323</v>
      </c>
      <c r="G263" t="str">
        <f t="shared" si="30"/>
        <v>(6298,</v>
      </c>
      <c r="H263" t="str">
        <f t="shared" si="31"/>
        <v>656,</v>
      </c>
      <c r="I263" t="str">
        <f t="shared" si="32"/>
        <v>'TSLA',</v>
      </c>
      <c r="J263" t="str">
        <f t="shared" si="33"/>
        <v>800.27,</v>
      </c>
      <c r="K263" t="str">
        <f t="shared" si="34"/>
        <v>'SELL',</v>
      </c>
      <c r="L263" t="str">
        <f t="shared" si="35"/>
        <v>'2024-05-21 15:20:00'),</v>
      </c>
      <c r="M263" t="str">
        <f t="shared" si="36"/>
        <v>(6298,656,'TSLA',800.27,'SELL','2024-05-21 15:20:00'),</v>
      </c>
    </row>
    <row r="264" spans="1:13" x14ac:dyDescent="0.2">
      <c r="A264">
        <v>5751</v>
      </c>
      <c r="B264">
        <v>260</v>
      </c>
      <c r="C264" t="s">
        <v>1066</v>
      </c>
      <c r="D264" t="s">
        <v>1328</v>
      </c>
      <c r="E264" t="s">
        <v>1062</v>
      </c>
      <c r="F264" s="8" t="s">
        <v>2324</v>
      </c>
      <c r="G264" t="str">
        <f t="shared" si="30"/>
        <v>(5751,</v>
      </c>
      <c r="H264" t="str">
        <f t="shared" si="31"/>
        <v>260,</v>
      </c>
      <c r="I264" t="str">
        <f t="shared" si="32"/>
        <v>'AMZN',</v>
      </c>
      <c r="J264" t="str">
        <f t="shared" si="33"/>
        <v>287.62,</v>
      </c>
      <c r="K264" t="str">
        <f t="shared" si="34"/>
        <v>'SELL',</v>
      </c>
      <c r="L264" t="str">
        <f t="shared" si="35"/>
        <v>'2024-01-24 17:16:00'),</v>
      </c>
      <c r="M264" t="str">
        <f t="shared" si="36"/>
        <v>(5751,260,'AMZN',287.62,'SELL','2024-01-24 17:16:00'),</v>
      </c>
    </row>
    <row r="265" spans="1:13" x14ac:dyDescent="0.2">
      <c r="A265">
        <v>4168</v>
      </c>
      <c r="B265">
        <v>412</v>
      </c>
      <c r="C265" t="s">
        <v>1063</v>
      </c>
      <c r="D265" t="s">
        <v>1329</v>
      </c>
      <c r="E265" t="s">
        <v>1062</v>
      </c>
      <c r="F265" s="8" t="s">
        <v>2325</v>
      </c>
      <c r="G265" t="str">
        <f t="shared" si="30"/>
        <v>(4168,</v>
      </c>
      <c r="H265" t="str">
        <f t="shared" si="31"/>
        <v>412,</v>
      </c>
      <c r="I265" t="str">
        <f t="shared" si="32"/>
        <v>'META',</v>
      </c>
      <c r="J265" t="str">
        <f t="shared" si="33"/>
        <v>770.26,</v>
      </c>
      <c r="K265" t="str">
        <f t="shared" si="34"/>
        <v>'SELL',</v>
      </c>
      <c r="L265" t="str">
        <f t="shared" si="35"/>
        <v>'2024-03-28 12:08:00'),</v>
      </c>
      <c r="M265" t="str">
        <f t="shared" si="36"/>
        <v>(4168,412,'META',770.26,'SELL','2024-03-28 12:08:00'),</v>
      </c>
    </row>
    <row r="266" spans="1:13" x14ac:dyDescent="0.2">
      <c r="A266">
        <v>5705</v>
      </c>
      <c r="B266">
        <v>180</v>
      </c>
      <c r="C266" t="s">
        <v>1060</v>
      </c>
      <c r="D266" t="s">
        <v>1330</v>
      </c>
      <c r="E266" t="s">
        <v>1068</v>
      </c>
      <c r="F266" s="8" t="s">
        <v>2326</v>
      </c>
      <c r="G266" t="str">
        <f t="shared" si="30"/>
        <v>(5705,</v>
      </c>
      <c r="H266" t="str">
        <f t="shared" si="31"/>
        <v>180,</v>
      </c>
      <c r="I266" t="str">
        <f t="shared" si="32"/>
        <v>'TSLA',</v>
      </c>
      <c r="J266" t="str">
        <f t="shared" si="33"/>
        <v>816.77,</v>
      </c>
      <c r="K266" t="str">
        <f t="shared" si="34"/>
        <v>'BUY',</v>
      </c>
      <c r="L266" t="str">
        <f t="shared" si="35"/>
        <v>'2024-04-29 17:37:00'),</v>
      </c>
      <c r="M266" t="str">
        <f t="shared" si="36"/>
        <v>(5705,180,'TSLA',816.77,'BUY','2024-04-29 17:37:00'),</v>
      </c>
    </row>
    <row r="267" spans="1:13" x14ac:dyDescent="0.2">
      <c r="A267">
        <v>5258</v>
      </c>
      <c r="B267">
        <v>553</v>
      </c>
      <c r="C267" t="s">
        <v>1066</v>
      </c>
      <c r="D267" t="s">
        <v>1331</v>
      </c>
      <c r="E267" t="s">
        <v>1062</v>
      </c>
      <c r="F267" s="8" t="s">
        <v>2327</v>
      </c>
      <c r="G267" t="str">
        <f t="shared" si="30"/>
        <v>(5258,</v>
      </c>
      <c r="H267" t="str">
        <f t="shared" si="31"/>
        <v>553,</v>
      </c>
      <c r="I267" t="str">
        <f t="shared" si="32"/>
        <v>'AMZN',</v>
      </c>
      <c r="J267" t="str">
        <f t="shared" si="33"/>
        <v>907.31,</v>
      </c>
      <c r="K267" t="str">
        <f t="shared" si="34"/>
        <v>'SELL',</v>
      </c>
      <c r="L267" t="str">
        <f t="shared" si="35"/>
        <v>'2024-03-18 18:01:00'),</v>
      </c>
      <c r="M267" t="str">
        <f t="shared" si="36"/>
        <v>(5258,553,'AMZN',907.31,'SELL','2024-03-18 18:01:00'),</v>
      </c>
    </row>
    <row r="268" spans="1:13" x14ac:dyDescent="0.2">
      <c r="A268">
        <v>4168</v>
      </c>
      <c r="B268">
        <v>74</v>
      </c>
      <c r="C268" t="s">
        <v>1060</v>
      </c>
      <c r="D268" t="s">
        <v>1332</v>
      </c>
      <c r="E268" t="s">
        <v>1062</v>
      </c>
      <c r="F268" s="8" t="s">
        <v>2328</v>
      </c>
      <c r="G268" t="str">
        <f t="shared" si="30"/>
        <v>(4168,</v>
      </c>
      <c r="H268" t="str">
        <f t="shared" si="31"/>
        <v>74,</v>
      </c>
      <c r="I268" t="str">
        <f t="shared" si="32"/>
        <v>'TSLA',</v>
      </c>
      <c r="J268" t="str">
        <f t="shared" si="33"/>
        <v>383.31,</v>
      </c>
      <c r="K268" t="str">
        <f t="shared" si="34"/>
        <v>'SELL',</v>
      </c>
      <c r="L268" t="str">
        <f t="shared" si="35"/>
        <v>'2024-04-16 16:27:00'),</v>
      </c>
      <c r="M268" t="str">
        <f t="shared" si="36"/>
        <v>(4168,74,'TSLA',383.31,'SELL','2024-04-16 16:27:00'),</v>
      </c>
    </row>
    <row r="269" spans="1:13" x14ac:dyDescent="0.2">
      <c r="A269">
        <v>1691</v>
      </c>
      <c r="B269">
        <v>715</v>
      </c>
      <c r="C269" t="s">
        <v>1060</v>
      </c>
      <c r="D269" t="s">
        <v>1333</v>
      </c>
      <c r="E269" t="s">
        <v>1068</v>
      </c>
      <c r="F269" s="8" t="s">
        <v>2329</v>
      </c>
      <c r="G269" t="str">
        <f t="shared" si="30"/>
        <v>(1691,</v>
      </c>
      <c r="H269" t="str">
        <f t="shared" si="31"/>
        <v>715,</v>
      </c>
      <c r="I269" t="str">
        <f t="shared" si="32"/>
        <v>'TSLA',</v>
      </c>
      <c r="J269" t="str">
        <f t="shared" si="33"/>
        <v>291.2,</v>
      </c>
      <c r="K269" t="str">
        <f t="shared" si="34"/>
        <v>'BUY',</v>
      </c>
      <c r="L269" t="str">
        <f t="shared" si="35"/>
        <v>'2024-04-30 06:01:00'),</v>
      </c>
      <c r="M269" t="str">
        <f t="shared" si="36"/>
        <v>(1691,715,'TSLA',291.2,'BUY','2024-04-30 06:01:00'),</v>
      </c>
    </row>
    <row r="270" spans="1:13" x14ac:dyDescent="0.2">
      <c r="A270">
        <v>7922</v>
      </c>
      <c r="B270">
        <v>786</v>
      </c>
      <c r="C270" t="s">
        <v>1069</v>
      </c>
      <c r="D270" t="s">
        <v>1334</v>
      </c>
      <c r="E270" t="s">
        <v>1068</v>
      </c>
      <c r="F270" s="8" t="s">
        <v>2330</v>
      </c>
      <c r="G270" t="str">
        <f t="shared" si="30"/>
        <v>(7922,</v>
      </c>
      <c r="H270" t="str">
        <f t="shared" si="31"/>
        <v>786,</v>
      </c>
      <c r="I270" t="str">
        <f t="shared" si="32"/>
        <v>'MSFT',</v>
      </c>
      <c r="J270" t="str">
        <f t="shared" si="33"/>
        <v>719.68,</v>
      </c>
      <c r="K270" t="str">
        <f t="shared" si="34"/>
        <v>'BUY',</v>
      </c>
      <c r="L270" t="str">
        <f t="shared" si="35"/>
        <v>'2024-05-14 07:48:00'),</v>
      </c>
      <c r="M270" t="str">
        <f t="shared" si="36"/>
        <v>(7922,786,'MSFT',719.68,'BUY','2024-05-14 07:48:00'),</v>
      </c>
    </row>
    <row r="271" spans="1:13" x14ac:dyDescent="0.2">
      <c r="A271">
        <v>5751</v>
      </c>
      <c r="B271">
        <v>352</v>
      </c>
      <c r="C271" t="s">
        <v>1063</v>
      </c>
      <c r="D271" t="s">
        <v>1335</v>
      </c>
      <c r="E271" t="s">
        <v>1068</v>
      </c>
      <c r="F271" s="8" t="s">
        <v>2331</v>
      </c>
      <c r="G271" t="str">
        <f t="shared" si="30"/>
        <v>(5751,</v>
      </c>
      <c r="H271" t="str">
        <f t="shared" si="31"/>
        <v>352,</v>
      </c>
      <c r="I271" t="str">
        <f t="shared" si="32"/>
        <v>'META',</v>
      </c>
      <c r="J271" t="str">
        <f t="shared" si="33"/>
        <v>562.88,</v>
      </c>
      <c r="K271" t="str">
        <f t="shared" si="34"/>
        <v>'BUY',</v>
      </c>
      <c r="L271" t="str">
        <f t="shared" si="35"/>
        <v>'2024-04-10 06:36:00'),</v>
      </c>
      <c r="M271" t="str">
        <f t="shared" si="36"/>
        <v>(5751,352,'META',562.88,'BUY','2024-04-10 06:36:00'),</v>
      </c>
    </row>
    <row r="272" spans="1:13" x14ac:dyDescent="0.2">
      <c r="A272">
        <v>5751</v>
      </c>
      <c r="B272">
        <v>820</v>
      </c>
      <c r="C272" t="s">
        <v>1063</v>
      </c>
      <c r="D272" t="s">
        <v>1336</v>
      </c>
      <c r="E272" t="s">
        <v>1062</v>
      </c>
      <c r="F272" s="8" t="s">
        <v>2332</v>
      </c>
      <c r="G272" t="str">
        <f t="shared" si="30"/>
        <v>(5751,</v>
      </c>
      <c r="H272" t="str">
        <f t="shared" si="31"/>
        <v>820,</v>
      </c>
      <c r="I272" t="str">
        <f t="shared" si="32"/>
        <v>'META',</v>
      </c>
      <c r="J272" t="str">
        <f t="shared" si="33"/>
        <v>341.59,</v>
      </c>
      <c r="K272" t="str">
        <f t="shared" si="34"/>
        <v>'SELL',</v>
      </c>
      <c r="L272" t="str">
        <f t="shared" si="35"/>
        <v>'2024-03-24 01:47:00'),</v>
      </c>
      <c r="M272" t="str">
        <f t="shared" si="36"/>
        <v>(5751,820,'META',341.59,'SELL','2024-03-24 01:47:00'),</v>
      </c>
    </row>
    <row r="273" spans="1:13" x14ac:dyDescent="0.2">
      <c r="A273">
        <v>4669</v>
      </c>
      <c r="B273">
        <v>250</v>
      </c>
      <c r="C273" t="s">
        <v>1060</v>
      </c>
      <c r="D273" t="s">
        <v>1337</v>
      </c>
      <c r="E273" t="s">
        <v>1068</v>
      </c>
      <c r="F273" s="8" t="s">
        <v>2333</v>
      </c>
      <c r="G273" t="str">
        <f t="shared" si="30"/>
        <v>(4669,</v>
      </c>
      <c r="H273" t="str">
        <f t="shared" si="31"/>
        <v>250,</v>
      </c>
      <c r="I273" t="str">
        <f t="shared" si="32"/>
        <v>'TSLA',</v>
      </c>
      <c r="J273" t="str">
        <f t="shared" si="33"/>
        <v>616.88,</v>
      </c>
      <c r="K273" t="str">
        <f t="shared" si="34"/>
        <v>'BUY',</v>
      </c>
      <c r="L273" t="str">
        <f t="shared" si="35"/>
        <v>'2024-01-26 12:26:00'),</v>
      </c>
      <c r="M273" t="str">
        <f t="shared" si="36"/>
        <v>(4669,250,'TSLA',616.88,'BUY','2024-01-26 12:26:00'),</v>
      </c>
    </row>
    <row r="274" spans="1:13" x14ac:dyDescent="0.2">
      <c r="A274">
        <v>5705</v>
      </c>
      <c r="B274">
        <v>309</v>
      </c>
      <c r="C274" t="s">
        <v>1069</v>
      </c>
      <c r="D274" t="s">
        <v>1338</v>
      </c>
      <c r="E274" t="s">
        <v>1068</v>
      </c>
      <c r="F274" s="8" t="s">
        <v>2334</v>
      </c>
      <c r="G274" t="str">
        <f t="shared" si="30"/>
        <v>(5705,</v>
      </c>
      <c r="H274" t="str">
        <f t="shared" si="31"/>
        <v>309,</v>
      </c>
      <c r="I274" t="str">
        <f t="shared" si="32"/>
        <v>'MSFT',</v>
      </c>
      <c r="J274" t="str">
        <f t="shared" si="33"/>
        <v>460.79,</v>
      </c>
      <c r="K274" t="str">
        <f t="shared" si="34"/>
        <v>'BUY',</v>
      </c>
      <c r="L274" t="str">
        <f t="shared" si="35"/>
        <v>'2024-04-24 07:34:00'),</v>
      </c>
      <c r="M274" t="str">
        <f t="shared" si="36"/>
        <v>(5705,309,'MSFT',460.79,'BUY','2024-04-24 07:34:00'),</v>
      </c>
    </row>
    <row r="275" spans="1:13" x14ac:dyDescent="0.2">
      <c r="A275">
        <v>5705</v>
      </c>
      <c r="B275">
        <v>412</v>
      </c>
      <c r="C275" t="s">
        <v>1066</v>
      </c>
      <c r="D275" t="s">
        <v>1339</v>
      </c>
      <c r="E275" t="s">
        <v>1062</v>
      </c>
      <c r="F275" s="8" t="s">
        <v>2335</v>
      </c>
      <c r="G275" t="str">
        <f t="shared" si="30"/>
        <v>(5705,</v>
      </c>
      <c r="H275" t="str">
        <f t="shared" si="31"/>
        <v>412,</v>
      </c>
      <c r="I275" t="str">
        <f t="shared" si="32"/>
        <v>'AMZN',</v>
      </c>
      <c r="J275" t="str">
        <f t="shared" si="33"/>
        <v>221.62,</v>
      </c>
      <c r="K275" t="str">
        <f t="shared" si="34"/>
        <v>'SELL',</v>
      </c>
      <c r="L275" t="str">
        <f t="shared" si="35"/>
        <v>'2024-03-20 06:05:00'),</v>
      </c>
      <c r="M275" t="str">
        <f t="shared" si="36"/>
        <v>(5705,412,'AMZN',221.62,'SELL','2024-03-20 06:05:00'),</v>
      </c>
    </row>
    <row r="276" spans="1:13" x14ac:dyDescent="0.2">
      <c r="A276">
        <v>4710</v>
      </c>
      <c r="B276">
        <v>656</v>
      </c>
      <c r="C276" t="s">
        <v>1063</v>
      </c>
      <c r="D276" t="s">
        <v>1340</v>
      </c>
      <c r="E276" t="s">
        <v>1068</v>
      </c>
      <c r="F276" s="8" t="s">
        <v>2336</v>
      </c>
      <c r="G276" t="str">
        <f t="shared" si="30"/>
        <v>(4710,</v>
      </c>
      <c r="H276" t="str">
        <f t="shared" si="31"/>
        <v>656,</v>
      </c>
      <c r="I276" t="str">
        <f t="shared" si="32"/>
        <v>'META',</v>
      </c>
      <c r="J276" t="str">
        <f t="shared" si="33"/>
        <v>385.62,</v>
      </c>
      <c r="K276" t="str">
        <f t="shared" si="34"/>
        <v>'BUY',</v>
      </c>
      <c r="L276" t="str">
        <f t="shared" si="35"/>
        <v>'2024-02-07 23:31:00'),</v>
      </c>
      <c r="M276" t="str">
        <f t="shared" si="36"/>
        <v>(4710,656,'META',385.62,'BUY','2024-02-07 23:31:00'),</v>
      </c>
    </row>
    <row r="277" spans="1:13" x14ac:dyDescent="0.2">
      <c r="A277">
        <v>5705</v>
      </c>
      <c r="B277">
        <v>565</v>
      </c>
      <c r="C277" t="s">
        <v>1063</v>
      </c>
      <c r="D277" t="s">
        <v>1341</v>
      </c>
      <c r="E277" t="s">
        <v>1068</v>
      </c>
      <c r="F277" s="8" t="s">
        <v>2337</v>
      </c>
      <c r="G277" t="str">
        <f t="shared" si="30"/>
        <v>(5705,</v>
      </c>
      <c r="H277" t="str">
        <f t="shared" si="31"/>
        <v>565,</v>
      </c>
      <c r="I277" t="str">
        <f t="shared" si="32"/>
        <v>'META',</v>
      </c>
      <c r="J277" t="str">
        <f t="shared" si="33"/>
        <v>549.29,</v>
      </c>
      <c r="K277" t="str">
        <f t="shared" si="34"/>
        <v>'BUY',</v>
      </c>
      <c r="L277" t="str">
        <f t="shared" si="35"/>
        <v>'2024-03-18 10:14:00'),</v>
      </c>
      <c r="M277" t="str">
        <f t="shared" si="36"/>
        <v>(5705,565,'META',549.29,'BUY','2024-03-18 10:14:00'),</v>
      </c>
    </row>
    <row r="278" spans="1:13" x14ac:dyDescent="0.2">
      <c r="A278">
        <v>6298</v>
      </c>
      <c r="B278">
        <v>240</v>
      </c>
      <c r="C278" t="s">
        <v>1063</v>
      </c>
      <c r="D278" t="s">
        <v>1342</v>
      </c>
      <c r="E278" t="s">
        <v>1068</v>
      </c>
      <c r="F278" s="8" t="s">
        <v>2338</v>
      </c>
      <c r="G278" t="str">
        <f t="shared" si="30"/>
        <v>(6298,</v>
      </c>
      <c r="H278" t="str">
        <f t="shared" si="31"/>
        <v>240,</v>
      </c>
      <c r="I278" t="str">
        <f t="shared" si="32"/>
        <v>'META',</v>
      </c>
      <c r="J278" t="str">
        <f t="shared" si="33"/>
        <v>903.9,</v>
      </c>
      <c r="K278" t="str">
        <f t="shared" si="34"/>
        <v>'BUY',</v>
      </c>
      <c r="L278" t="str">
        <f t="shared" si="35"/>
        <v>'2024-01-29 19:40:00'),</v>
      </c>
      <c r="M278" t="str">
        <f t="shared" si="36"/>
        <v>(6298,240,'META',903.9,'BUY','2024-01-29 19:40:00'),</v>
      </c>
    </row>
    <row r="279" spans="1:13" x14ac:dyDescent="0.2">
      <c r="A279">
        <v>4710</v>
      </c>
      <c r="B279">
        <v>866</v>
      </c>
      <c r="C279" t="s">
        <v>1066</v>
      </c>
      <c r="D279" t="s">
        <v>1343</v>
      </c>
      <c r="E279" t="s">
        <v>1062</v>
      </c>
      <c r="F279" s="8" t="s">
        <v>2339</v>
      </c>
      <c r="G279" t="str">
        <f t="shared" si="30"/>
        <v>(4710,</v>
      </c>
      <c r="H279" t="str">
        <f t="shared" si="31"/>
        <v>866,</v>
      </c>
      <c r="I279" t="str">
        <f t="shared" si="32"/>
        <v>'AMZN',</v>
      </c>
      <c r="J279" t="str">
        <f t="shared" si="33"/>
        <v>562.13,</v>
      </c>
      <c r="K279" t="str">
        <f t="shared" si="34"/>
        <v>'SELL',</v>
      </c>
      <c r="L279" t="str">
        <f t="shared" si="35"/>
        <v>'2024-03-07 11:05:00'),</v>
      </c>
      <c r="M279" t="str">
        <f t="shared" si="36"/>
        <v>(4710,866,'AMZN',562.13,'SELL','2024-03-07 11:05:00'),</v>
      </c>
    </row>
    <row r="280" spans="1:13" x14ac:dyDescent="0.2">
      <c r="A280">
        <v>4168</v>
      </c>
      <c r="B280">
        <v>424</v>
      </c>
      <c r="C280" t="s">
        <v>1060</v>
      </c>
      <c r="D280" t="s">
        <v>1344</v>
      </c>
      <c r="E280" t="s">
        <v>1068</v>
      </c>
      <c r="F280" s="8" t="s">
        <v>2340</v>
      </c>
      <c r="G280" t="str">
        <f t="shared" si="30"/>
        <v>(4168,</v>
      </c>
      <c r="H280" t="str">
        <f t="shared" si="31"/>
        <v>424,</v>
      </c>
      <c r="I280" t="str">
        <f t="shared" si="32"/>
        <v>'TSLA',</v>
      </c>
      <c r="J280" t="str">
        <f t="shared" si="33"/>
        <v>540.99,</v>
      </c>
      <c r="K280" t="str">
        <f t="shared" si="34"/>
        <v>'BUY',</v>
      </c>
      <c r="L280" t="str">
        <f t="shared" si="35"/>
        <v>'2024-03-06 11:39:00'),</v>
      </c>
      <c r="M280" t="str">
        <f t="shared" si="36"/>
        <v>(4168,424,'TSLA',540.99,'BUY','2024-03-06 11:39:00'),</v>
      </c>
    </row>
    <row r="281" spans="1:13" x14ac:dyDescent="0.2">
      <c r="A281">
        <v>6298</v>
      </c>
      <c r="B281">
        <v>107</v>
      </c>
      <c r="C281" t="s">
        <v>1066</v>
      </c>
      <c r="D281" t="s">
        <v>1345</v>
      </c>
      <c r="E281" t="s">
        <v>1062</v>
      </c>
      <c r="F281" s="8" t="s">
        <v>2341</v>
      </c>
      <c r="G281" t="str">
        <f t="shared" si="30"/>
        <v>(6298,</v>
      </c>
      <c r="H281" t="str">
        <f t="shared" si="31"/>
        <v>107,</v>
      </c>
      <c r="I281" t="str">
        <f t="shared" si="32"/>
        <v>'AMZN',</v>
      </c>
      <c r="J281" t="str">
        <f t="shared" si="33"/>
        <v>300.99,</v>
      </c>
      <c r="K281" t="str">
        <f t="shared" si="34"/>
        <v>'SELL',</v>
      </c>
      <c r="L281" t="str">
        <f t="shared" si="35"/>
        <v>'2024-04-05 00:37:00'),</v>
      </c>
      <c r="M281" t="str">
        <f t="shared" si="36"/>
        <v>(6298,107,'AMZN',300.99,'SELL','2024-04-05 00:37:00'),</v>
      </c>
    </row>
    <row r="282" spans="1:13" x14ac:dyDescent="0.2">
      <c r="A282">
        <v>4168</v>
      </c>
      <c r="B282">
        <v>24</v>
      </c>
      <c r="C282" t="s">
        <v>1069</v>
      </c>
      <c r="D282" t="s">
        <v>1346</v>
      </c>
      <c r="E282" t="s">
        <v>1062</v>
      </c>
      <c r="F282" s="8" t="s">
        <v>2342</v>
      </c>
      <c r="G282" t="str">
        <f t="shared" si="30"/>
        <v>(4168,</v>
      </c>
      <c r="H282" t="str">
        <f t="shared" si="31"/>
        <v>24,</v>
      </c>
      <c r="I282" t="str">
        <f t="shared" si="32"/>
        <v>'MSFT',</v>
      </c>
      <c r="J282" t="str">
        <f t="shared" si="33"/>
        <v>839.43,</v>
      </c>
      <c r="K282" t="str">
        <f t="shared" si="34"/>
        <v>'SELL',</v>
      </c>
      <c r="L282" t="str">
        <f t="shared" si="35"/>
        <v>'2024-05-10 10:17:00'),</v>
      </c>
      <c r="M282" t="str">
        <f t="shared" si="36"/>
        <v>(4168,24,'MSFT',839.43,'SELL','2024-05-10 10:17:00'),</v>
      </c>
    </row>
    <row r="283" spans="1:13" x14ac:dyDescent="0.2">
      <c r="A283">
        <v>5705</v>
      </c>
      <c r="B283">
        <v>996</v>
      </c>
      <c r="C283" t="s">
        <v>1066</v>
      </c>
      <c r="D283" t="s">
        <v>1347</v>
      </c>
      <c r="E283" t="s">
        <v>1068</v>
      </c>
      <c r="F283" s="8" t="s">
        <v>2343</v>
      </c>
      <c r="G283" t="str">
        <f t="shared" si="30"/>
        <v>(5705,</v>
      </c>
      <c r="H283" t="str">
        <f t="shared" si="31"/>
        <v>996,</v>
      </c>
      <c r="I283" t="str">
        <f t="shared" si="32"/>
        <v>'AMZN',</v>
      </c>
      <c r="J283" t="str">
        <f t="shared" si="33"/>
        <v>360.16,</v>
      </c>
      <c r="K283" t="str">
        <f t="shared" si="34"/>
        <v>'BUY',</v>
      </c>
      <c r="L283" t="str">
        <f t="shared" si="35"/>
        <v>'2024-01-31 09:34:00'),</v>
      </c>
      <c r="M283" t="str">
        <f t="shared" si="36"/>
        <v>(5705,996,'AMZN',360.16,'BUY','2024-01-31 09:34:00'),</v>
      </c>
    </row>
    <row r="284" spans="1:13" x14ac:dyDescent="0.2">
      <c r="A284">
        <v>6298</v>
      </c>
      <c r="B284">
        <v>778</v>
      </c>
      <c r="C284" t="s">
        <v>1066</v>
      </c>
      <c r="D284" t="s">
        <v>1348</v>
      </c>
      <c r="E284" t="s">
        <v>1062</v>
      </c>
      <c r="F284" s="8" t="s">
        <v>2344</v>
      </c>
      <c r="G284" t="str">
        <f t="shared" si="30"/>
        <v>(6298,</v>
      </c>
      <c r="H284" t="str">
        <f t="shared" si="31"/>
        <v>778,</v>
      </c>
      <c r="I284" t="str">
        <f t="shared" si="32"/>
        <v>'AMZN',</v>
      </c>
      <c r="J284" t="str">
        <f t="shared" si="33"/>
        <v>238.25,</v>
      </c>
      <c r="K284" t="str">
        <f t="shared" si="34"/>
        <v>'SELL',</v>
      </c>
      <c r="L284" t="str">
        <f t="shared" si="35"/>
        <v>'2024-03-05 21:28:00'),</v>
      </c>
      <c r="M284" t="str">
        <f t="shared" si="36"/>
        <v>(6298,778,'AMZN',238.25,'SELL','2024-03-05 21:28:00'),</v>
      </c>
    </row>
    <row r="285" spans="1:13" x14ac:dyDescent="0.2">
      <c r="A285">
        <v>5297</v>
      </c>
      <c r="B285">
        <v>643</v>
      </c>
      <c r="C285" t="s">
        <v>1069</v>
      </c>
      <c r="D285" t="s">
        <v>1349</v>
      </c>
      <c r="E285" t="s">
        <v>1068</v>
      </c>
      <c r="F285" s="8" t="s">
        <v>2345</v>
      </c>
      <c r="G285" t="str">
        <f t="shared" si="30"/>
        <v>(5297,</v>
      </c>
      <c r="H285" t="str">
        <f t="shared" si="31"/>
        <v>643,</v>
      </c>
      <c r="I285" t="str">
        <f t="shared" si="32"/>
        <v>'MSFT',</v>
      </c>
      <c r="J285" t="str">
        <f t="shared" si="33"/>
        <v>251.5,</v>
      </c>
      <c r="K285" t="str">
        <f t="shared" si="34"/>
        <v>'BUY',</v>
      </c>
      <c r="L285" t="str">
        <f t="shared" si="35"/>
        <v>'2024-05-12 06:02:00'),</v>
      </c>
      <c r="M285" t="str">
        <f t="shared" si="36"/>
        <v>(5297,643,'MSFT',251.5,'BUY','2024-05-12 06:02:00'),</v>
      </c>
    </row>
    <row r="286" spans="1:13" x14ac:dyDescent="0.2">
      <c r="A286">
        <v>6298</v>
      </c>
      <c r="B286">
        <v>418</v>
      </c>
      <c r="C286" t="s">
        <v>1063</v>
      </c>
      <c r="D286" t="s">
        <v>1350</v>
      </c>
      <c r="E286" t="s">
        <v>1062</v>
      </c>
      <c r="F286" s="8" t="s">
        <v>2346</v>
      </c>
      <c r="G286" t="str">
        <f t="shared" si="30"/>
        <v>(6298,</v>
      </c>
      <c r="H286" t="str">
        <f t="shared" si="31"/>
        <v>418,</v>
      </c>
      <c r="I286" t="str">
        <f t="shared" si="32"/>
        <v>'META',</v>
      </c>
      <c r="J286" t="str">
        <f t="shared" si="33"/>
        <v>517.2,</v>
      </c>
      <c r="K286" t="str">
        <f t="shared" si="34"/>
        <v>'SELL',</v>
      </c>
      <c r="L286" t="str">
        <f t="shared" si="35"/>
        <v>'2024-02-06 10:03:00'),</v>
      </c>
      <c r="M286" t="str">
        <f t="shared" si="36"/>
        <v>(6298,418,'META',517.2,'SELL','2024-02-06 10:03:00'),</v>
      </c>
    </row>
    <row r="287" spans="1:13" x14ac:dyDescent="0.2">
      <c r="A287">
        <v>7938</v>
      </c>
      <c r="B287">
        <v>196</v>
      </c>
      <c r="C287" t="s">
        <v>1063</v>
      </c>
      <c r="D287" t="s">
        <v>1351</v>
      </c>
      <c r="E287" t="s">
        <v>1062</v>
      </c>
      <c r="F287" s="8" t="s">
        <v>2347</v>
      </c>
      <c r="G287" t="str">
        <f t="shared" si="30"/>
        <v>(7938,</v>
      </c>
      <c r="H287" t="str">
        <f t="shared" si="31"/>
        <v>196,</v>
      </c>
      <c r="I287" t="str">
        <f t="shared" si="32"/>
        <v>'META',</v>
      </c>
      <c r="J287" t="str">
        <f t="shared" si="33"/>
        <v>305.96,</v>
      </c>
      <c r="K287" t="str">
        <f t="shared" si="34"/>
        <v>'SELL',</v>
      </c>
      <c r="L287" t="str">
        <f t="shared" si="35"/>
        <v>'2024-03-15 19:33:00'),</v>
      </c>
      <c r="M287" t="str">
        <f t="shared" si="36"/>
        <v>(7938,196,'META',305.96,'SELL','2024-03-15 19:33:00'),</v>
      </c>
    </row>
    <row r="288" spans="1:13" x14ac:dyDescent="0.2">
      <c r="A288">
        <v>9094</v>
      </c>
      <c r="B288">
        <v>389</v>
      </c>
      <c r="C288" t="s">
        <v>1063</v>
      </c>
      <c r="D288" t="s">
        <v>1352</v>
      </c>
      <c r="E288" t="s">
        <v>1068</v>
      </c>
      <c r="F288" s="8" t="s">
        <v>2348</v>
      </c>
      <c r="G288" t="str">
        <f t="shared" si="30"/>
        <v>(9094,</v>
      </c>
      <c r="H288" t="str">
        <f t="shared" si="31"/>
        <v>389,</v>
      </c>
      <c r="I288" t="str">
        <f t="shared" si="32"/>
        <v>'META',</v>
      </c>
      <c r="J288" t="str">
        <f t="shared" si="33"/>
        <v>882.28,</v>
      </c>
      <c r="K288" t="str">
        <f t="shared" si="34"/>
        <v>'BUY',</v>
      </c>
      <c r="L288" t="str">
        <f t="shared" si="35"/>
        <v>'2024-04-26 15:15:00'),</v>
      </c>
      <c r="M288" t="str">
        <f t="shared" si="36"/>
        <v>(9094,389,'META',882.28,'BUY','2024-04-26 15:15:00'),</v>
      </c>
    </row>
    <row r="289" spans="1:13" x14ac:dyDescent="0.2">
      <c r="A289">
        <v>9952</v>
      </c>
      <c r="B289">
        <v>307</v>
      </c>
      <c r="C289" t="s">
        <v>1069</v>
      </c>
      <c r="D289" t="s">
        <v>1353</v>
      </c>
      <c r="E289" t="s">
        <v>1062</v>
      </c>
      <c r="F289" s="8" t="s">
        <v>2349</v>
      </c>
      <c r="G289" t="str">
        <f t="shared" si="30"/>
        <v>(9952,</v>
      </c>
      <c r="H289" t="str">
        <f t="shared" si="31"/>
        <v>307,</v>
      </c>
      <c r="I289" t="str">
        <f t="shared" si="32"/>
        <v>'MSFT',</v>
      </c>
      <c r="J289" t="str">
        <f t="shared" si="33"/>
        <v>758.82,</v>
      </c>
      <c r="K289" t="str">
        <f t="shared" si="34"/>
        <v>'SELL',</v>
      </c>
      <c r="L289" t="str">
        <f t="shared" si="35"/>
        <v>'2024-03-19 05:09:00'),</v>
      </c>
      <c r="M289" t="str">
        <f t="shared" si="36"/>
        <v>(9952,307,'MSFT',758.82,'SELL','2024-03-19 05:09:00'),</v>
      </c>
    </row>
    <row r="290" spans="1:13" x14ac:dyDescent="0.2">
      <c r="A290">
        <v>1691</v>
      </c>
      <c r="B290">
        <v>499</v>
      </c>
      <c r="C290" t="s">
        <v>1060</v>
      </c>
      <c r="D290" t="s">
        <v>1354</v>
      </c>
      <c r="E290" t="s">
        <v>1062</v>
      </c>
      <c r="F290" s="8" t="s">
        <v>2350</v>
      </c>
      <c r="G290" t="str">
        <f t="shared" si="30"/>
        <v>(1691,</v>
      </c>
      <c r="H290" t="str">
        <f t="shared" si="31"/>
        <v>499,</v>
      </c>
      <c r="I290" t="str">
        <f t="shared" si="32"/>
        <v>'TSLA',</v>
      </c>
      <c r="J290" t="str">
        <f t="shared" si="33"/>
        <v>381.78,</v>
      </c>
      <c r="K290" t="str">
        <f t="shared" si="34"/>
        <v>'SELL',</v>
      </c>
      <c r="L290" t="str">
        <f t="shared" si="35"/>
        <v>'2024-01-06 14:50:00'),</v>
      </c>
      <c r="M290" t="str">
        <f t="shared" si="36"/>
        <v>(1691,499,'TSLA',381.78,'SELL','2024-01-06 14:50:00'),</v>
      </c>
    </row>
    <row r="291" spans="1:13" x14ac:dyDescent="0.2">
      <c r="A291">
        <v>5297</v>
      </c>
      <c r="B291">
        <v>885</v>
      </c>
      <c r="C291" t="s">
        <v>1066</v>
      </c>
      <c r="D291" t="s">
        <v>1355</v>
      </c>
      <c r="E291" t="s">
        <v>1062</v>
      </c>
      <c r="F291" s="8" t="s">
        <v>2351</v>
      </c>
      <c r="G291" t="str">
        <f t="shared" si="30"/>
        <v>(5297,</v>
      </c>
      <c r="H291" t="str">
        <f t="shared" si="31"/>
        <v>885,</v>
      </c>
      <c r="I291" t="str">
        <f t="shared" si="32"/>
        <v>'AMZN',</v>
      </c>
      <c r="J291" t="str">
        <f t="shared" si="33"/>
        <v>220.04,</v>
      </c>
      <c r="K291" t="str">
        <f t="shared" si="34"/>
        <v>'SELL',</v>
      </c>
      <c r="L291" t="str">
        <f t="shared" si="35"/>
        <v>'2024-05-28 22:48:00'),</v>
      </c>
      <c r="M291" t="str">
        <f t="shared" si="36"/>
        <v>(5297,885,'AMZN',220.04,'SELL','2024-05-28 22:48:00'),</v>
      </c>
    </row>
    <row r="292" spans="1:13" x14ac:dyDescent="0.2">
      <c r="A292">
        <v>1691</v>
      </c>
      <c r="B292">
        <v>281</v>
      </c>
      <c r="C292" t="s">
        <v>1063</v>
      </c>
      <c r="D292" t="s">
        <v>1356</v>
      </c>
      <c r="E292" t="s">
        <v>1062</v>
      </c>
      <c r="F292" s="8" t="s">
        <v>2352</v>
      </c>
      <c r="G292" t="str">
        <f t="shared" si="30"/>
        <v>(1691,</v>
      </c>
      <c r="H292" t="str">
        <f t="shared" si="31"/>
        <v>281,</v>
      </c>
      <c r="I292" t="str">
        <f t="shared" si="32"/>
        <v>'META',</v>
      </c>
      <c r="J292" t="str">
        <f t="shared" si="33"/>
        <v>371.16,</v>
      </c>
      <c r="K292" t="str">
        <f t="shared" si="34"/>
        <v>'SELL',</v>
      </c>
      <c r="L292" t="str">
        <f t="shared" si="35"/>
        <v>'2024-04-22 12:23:00'),</v>
      </c>
      <c r="M292" t="str">
        <f t="shared" si="36"/>
        <v>(1691,281,'META',371.16,'SELL','2024-04-22 12:23:00'),</v>
      </c>
    </row>
    <row r="293" spans="1:13" x14ac:dyDescent="0.2">
      <c r="A293">
        <v>4168</v>
      </c>
      <c r="B293">
        <v>566</v>
      </c>
      <c r="C293" t="s">
        <v>1063</v>
      </c>
      <c r="D293" t="s">
        <v>1357</v>
      </c>
      <c r="E293" t="s">
        <v>1062</v>
      </c>
      <c r="F293" s="8" t="s">
        <v>2353</v>
      </c>
      <c r="G293" t="str">
        <f t="shared" si="30"/>
        <v>(4168,</v>
      </c>
      <c r="H293" t="str">
        <f t="shared" si="31"/>
        <v>566,</v>
      </c>
      <c r="I293" t="str">
        <f t="shared" si="32"/>
        <v>'META',</v>
      </c>
      <c r="J293" t="str">
        <f t="shared" si="33"/>
        <v>890.64,</v>
      </c>
      <c r="K293" t="str">
        <f t="shared" si="34"/>
        <v>'SELL',</v>
      </c>
      <c r="L293" t="str">
        <f t="shared" si="35"/>
        <v>'2024-01-12 19:15:00'),</v>
      </c>
      <c r="M293" t="str">
        <f t="shared" si="36"/>
        <v>(4168,566,'META',890.64,'SELL','2024-01-12 19:15:00'),</v>
      </c>
    </row>
    <row r="294" spans="1:13" x14ac:dyDescent="0.2">
      <c r="A294">
        <v>5705</v>
      </c>
      <c r="B294">
        <v>860</v>
      </c>
      <c r="C294" t="s">
        <v>1066</v>
      </c>
      <c r="D294" t="s">
        <v>1358</v>
      </c>
      <c r="E294" t="s">
        <v>1068</v>
      </c>
      <c r="F294" s="8" t="s">
        <v>2354</v>
      </c>
      <c r="G294" t="str">
        <f t="shared" si="30"/>
        <v>(5705,</v>
      </c>
      <c r="H294" t="str">
        <f t="shared" si="31"/>
        <v>860,</v>
      </c>
      <c r="I294" t="str">
        <f t="shared" si="32"/>
        <v>'AMZN',</v>
      </c>
      <c r="J294" t="str">
        <f t="shared" si="33"/>
        <v>564.98,</v>
      </c>
      <c r="K294" t="str">
        <f t="shared" si="34"/>
        <v>'BUY',</v>
      </c>
      <c r="L294" t="str">
        <f t="shared" si="35"/>
        <v>'2024-02-10 06:35:00'),</v>
      </c>
      <c r="M294" t="str">
        <f t="shared" si="36"/>
        <v>(5705,860,'AMZN',564.98,'BUY','2024-02-10 06:35:00'),</v>
      </c>
    </row>
    <row r="295" spans="1:13" x14ac:dyDescent="0.2">
      <c r="A295">
        <v>4669</v>
      </c>
      <c r="B295">
        <v>548</v>
      </c>
      <c r="C295" t="s">
        <v>1060</v>
      </c>
      <c r="D295" t="s">
        <v>1359</v>
      </c>
      <c r="E295" t="s">
        <v>1062</v>
      </c>
      <c r="F295" s="8" t="s">
        <v>2355</v>
      </c>
      <c r="G295" t="str">
        <f t="shared" si="30"/>
        <v>(4669,</v>
      </c>
      <c r="H295" t="str">
        <f t="shared" si="31"/>
        <v>548,</v>
      </c>
      <c r="I295" t="str">
        <f t="shared" si="32"/>
        <v>'TSLA',</v>
      </c>
      <c r="J295" t="str">
        <f t="shared" si="33"/>
        <v>199.91,</v>
      </c>
      <c r="K295" t="str">
        <f t="shared" si="34"/>
        <v>'SELL',</v>
      </c>
      <c r="L295" t="str">
        <f t="shared" si="35"/>
        <v>'2024-03-12 22:05:00'),</v>
      </c>
      <c r="M295" t="str">
        <f t="shared" si="36"/>
        <v>(4669,548,'TSLA',199.91,'SELL','2024-03-12 22:05:00'),</v>
      </c>
    </row>
    <row r="296" spans="1:13" x14ac:dyDescent="0.2">
      <c r="A296">
        <v>9952</v>
      </c>
      <c r="B296">
        <v>42</v>
      </c>
      <c r="C296" t="s">
        <v>1066</v>
      </c>
      <c r="D296" t="s">
        <v>1360</v>
      </c>
      <c r="E296" t="s">
        <v>1068</v>
      </c>
      <c r="F296" s="8" t="s">
        <v>2356</v>
      </c>
      <c r="G296" t="str">
        <f t="shared" si="30"/>
        <v>(9952,</v>
      </c>
      <c r="H296" t="str">
        <f t="shared" si="31"/>
        <v>42,</v>
      </c>
      <c r="I296" t="str">
        <f t="shared" si="32"/>
        <v>'AMZN',</v>
      </c>
      <c r="J296" t="str">
        <f t="shared" si="33"/>
        <v>121.57,</v>
      </c>
      <c r="K296" t="str">
        <f t="shared" si="34"/>
        <v>'BUY',</v>
      </c>
      <c r="L296" t="str">
        <f t="shared" si="35"/>
        <v>'2024-05-06 04:00:00'),</v>
      </c>
      <c r="M296" t="str">
        <f t="shared" si="36"/>
        <v>(9952,42,'AMZN',121.57,'BUY','2024-05-06 04:00:00'),</v>
      </c>
    </row>
    <row r="297" spans="1:13" x14ac:dyDescent="0.2">
      <c r="A297">
        <v>9952</v>
      </c>
      <c r="B297">
        <v>196</v>
      </c>
      <c r="C297" t="s">
        <v>1060</v>
      </c>
      <c r="D297" t="s">
        <v>1361</v>
      </c>
      <c r="E297" t="s">
        <v>1062</v>
      </c>
      <c r="F297" s="8" t="s">
        <v>2357</v>
      </c>
      <c r="G297" t="str">
        <f t="shared" si="30"/>
        <v>(9952,</v>
      </c>
      <c r="H297" t="str">
        <f t="shared" si="31"/>
        <v>196,</v>
      </c>
      <c r="I297" t="str">
        <f t="shared" si="32"/>
        <v>'TSLA',</v>
      </c>
      <c r="J297" t="str">
        <f t="shared" si="33"/>
        <v>743.32,</v>
      </c>
      <c r="K297" t="str">
        <f t="shared" si="34"/>
        <v>'SELL',</v>
      </c>
      <c r="L297" t="str">
        <f t="shared" si="35"/>
        <v>'2024-02-27 05:05:00'),</v>
      </c>
      <c r="M297" t="str">
        <f t="shared" si="36"/>
        <v>(9952,196,'TSLA',743.32,'SELL','2024-02-27 05:05:00'),</v>
      </c>
    </row>
    <row r="298" spans="1:13" x14ac:dyDescent="0.2">
      <c r="A298">
        <v>5705</v>
      </c>
      <c r="B298">
        <v>898</v>
      </c>
      <c r="C298" t="s">
        <v>1063</v>
      </c>
      <c r="D298" t="s">
        <v>1362</v>
      </c>
      <c r="E298" t="s">
        <v>1062</v>
      </c>
      <c r="F298" s="8" t="s">
        <v>2358</v>
      </c>
      <c r="G298" t="str">
        <f t="shared" si="30"/>
        <v>(5705,</v>
      </c>
      <c r="H298" t="str">
        <f t="shared" si="31"/>
        <v>898,</v>
      </c>
      <c r="I298" t="str">
        <f t="shared" si="32"/>
        <v>'META',</v>
      </c>
      <c r="J298" t="str">
        <f t="shared" si="33"/>
        <v>204.77,</v>
      </c>
      <c r="K298" t="str">
        <f t="shared" si="34"/>
        <v>'SELL',</v>
      </c>
      <c r="L298" t="str">
        <f t="shared" si="35"/>
        <v>'2024-02-16 20:28:00'),</v>
      </c>
      <c r="M298" t="str">
        <f t="shared" si="36"/>
        <v>(5705,898,'META',204.77,'SELL','2024-02-16 20:28:00'),</v>
      </c>
    </row>
    <row r="299" spans="1:13" x14ac:dyDescent="0.2">
      <c r="A299">
        <v>4669</v>
      </c>
      <c r="B299">
        <v>972</v>
      </c>
      <c r="C299" t="s">
        <v>1060</v>
      </c>
      <c r="D299" t="s">
        <v>1363</v>
      </c>
      <c r="E299" t="s">
        <v>1068</v>
      </c>
      <c r="F299" s="8" t="s">
        <v>2359</v>
      </c>
      <c r="G299" t="str">
        <f t="shared" si="30"/>
        <v>(4669,</v>
      </c>
      <c r="H299" t="str">
        <f t="shared" si="31"/>
        <v>972,</v>
      </c>
      <c r="I299" t="str">
        <f t="shared" si="32"/>
        <v>'TSLA',</v>
      </c>
      <c r="J299" t="str">
        <f t="shared" si="33"/>
        <v>363.01,</v>
      </c>
      <c r="K299" t="str">
        <f t="shared" si="34"/>
        <v>'BUY',</v>
      </c>
      <c r="L299" t="str">
        <f t="shared" si="35"/>
        <v>'2024-05-01 12:19:00'),</v>
      </c>
      <c r="M299" t="str">
        <f t="shared" si="36"/>
        <v>(4669,972,'TSLA',363.01,'BUY','2024-05-01 12:19:00'),</v>
      </c>
    </row>
    <row r="300" spans="1:13" x14ac:dyDescent="0.2">
      <c r="A300">
        <v>7922</v>
      </c>
      <c r="B300">
        <v>402</v>
      </c>
      <c r="C300" t="s">
        <v>1066</v>
      </c>
      <c r="D300" t="s">
        <v>1364</v>
      </c>
      <c r="E300" t="s">
        <v>1068</v>
      </c>
      <c r="F300" s="8" t="s">
        <v>2360</v>
      </c>
      <c r="G300" t="str">
        <f t="shared" si="30"/>
        <v>(7922,</v>
      </c>
      <c r="H300" t="str">
        <f t="shared" si="31"/>
        <v>402,</v>
      </c>
      <c r="I300" t="str">
        <f t="shared" si="32"/>
        <v>'AMZN',</v>
      </c>
      <c r="J300" t="str">
        <f t="shared" si="33"/>
        <v>745.59,</v>
      </c>
      <c r="K300" t="str">
        <f t="shared" si="34"/>
        <v>'BUY',</v>
      </c>
      <c r="L300" t="str">
        <f t="shared" si="35"/>
        <v>'2024-05-11 16:30:00'),</v>
      </c>
      <c r="M300" t="str">
        <f t="shared" si="36"/>
        <v>(7922,402,'AMZN',745.59,'BUY','2024-05-11 16:30:00'),</v>
      </c>
    </row>
    <row r="301" spans="1:13" x14ac:dyDescent="0.2">
      <c r="A301">
        <v>7531</v>
      </c>
      <c r="B301">
        <v>82</v>
      </c>
      <c r="C301" t="s">
        <v>1069</v>
      </c>
      <c r="D301" t="s">
        <v>1365</v>
      </c>
      <c r="E301" t="s">
        <v>1068</v>
      </c>
      <c r="F301" s="8" t="s">
        <v>2361</v>
      </c>
      <c r="G301" t="str">
        <f t="shared" si="30"/>
        <v>(7531,</v>
      </c>
      <c r="H301" t="str">
        <f t="shared" si="31"/>
        <v>82,</v>
      </c>
      <c r="I301" t="str">
        <f t="shared" si="32"/>
        <v>'MSFT',</v>
      </c>
      <c r="J301" t="str">
        <f t="shared" si="33"/>
        <v>416.86,</v>
      </c>
      <c r="K301" t="str">
        <f t="shared" si="34"/>
        <v>'BUY',</v>
      </c>
      <c r="L301" t="str">
        <f t="shared" si="35"/>
        <v>'2024-04-03 12:55:00'),</v>
      </c>
      <c r="M301" t="str">
        <f t="shared" si="36"/>
        <v>(7531,82,'MSFT',416.86,'BUY','2024-04-03 12:55:00'),</v>
      </c>
    </row>
    <row r="302" spans="1:13" x14ac:dyDescent="0.2">
      <c r="A302">
        <v>5751</v>
      </c>
      <c r="B302">
        <v>708</v>
      </c>
      <c r="C302" t="s">
        <v>1066</v>
      </c>
      <c r="D302" t="s">
        <v>1366</v>
      </c>
      <c r="E302" t="s">
        <v>1062</v>
      </c>
      <c r="F302" s="8" t="s">
        <v>2362</v>
      </c>
      <c r="G302" t="str">
        <f t="shared" si="30"/>
        <v>(5751,</v>
      </c>
      <c r="H302" t="str">
        <f t="shared" si="31"/>
        <v>708,</v>
      </c>
      <c r="I302" t="str">
        <f t="shared" si="32"/>
        <v>'AMZN',</v>
      </c>
      <c r="J302" t="str">
        <f t="shared" si="33"/>
        <v>811.27,</v>
      </c>
      <c r="K302" t="str">
        <f t="shared" si="34"/>
        <v>'SELL',</v>
      </c>
      <c r="L302" t="str">
        <f t="shared" si="35"/>
        <v>'2024-04-27 23:11:00'),</v>
      </c>
      <c r="M302" t="str">
        <f t="shared" si="36"/>
        <v>(5751,708,'AMZN',811.27,'SELL','2024-04-27 23:11:00'),</v>
      </c>
    </row>
    <row r="303" spans="1:13" x14ac:dyDescent="0.2">
      <c r="A303">
        <v>5705</v>
      </c>
      <c r="B303">
        <v>129</v>
      </c>
      <c r="C303" t="s">
        <v>1066</v>
      </c>
      <c r="D303" t="s">
        <v>1367</v>
      </c>
      <c r="E303" t="s">
        <v>1062</v>
      </c>
      <c r="F303" s="8" t="s">
        <v>2363</v>
      </c>
      <c r="G303" t="str">
        <f t="shared" si="30"/>
        <v>(5705,</v>
      </c>
      <c r="H303" t="str">
        <f t="shared" si="31"/>
        <v>129,</v>
      </c>
      <c r="I303" t="str">
        <f t="shared" si="32"/>
        <v>'AMZN',</v>
      </c>
      <c r="J303" t="str">
        <f t="shared" si="33"/>
        <v>880.51,</v>
      </c>
      <c r="K303" t="str">
        <f t="shared" si="34"/>
        <v>'SELL',</v>
      </c>
      <c r="L303" t="str">
        <f t="shared" si="35"/>
        <v>'2024-05-07 00:02:00'),</v>
      </c>
      <c r="M303" t="str">
        <f t="shared" si="36"/>
        <v>(5705,129,'AMZN',880.51,'SELL','2024-05-07 00:02:00'),</v>
      </c>
    </row>
    <row r="304" spans="1:13" x14ac:dyDescent="0.2">
      <c r="A304">
        <v>1691</v>
      </c>
      <c r="B304">
        <v>320</v>
      </c>
      <c r="C304" t="s">
        <v>1060</v>
      </c>
      <c r="D304" t="s">
        <v>1368</v>
      </c>
      <c r="E304" t="s">
        <v>1068</v>
      </c>
      <c r="F304" s="8" t="s">
        <v>2364</v>
      </c>
      <c r="G304" t="str">
        <f t="shared" si="30"/>
        <v>(1691,</v>
      </c>
      <c r="H304" t="str">
        <f t="shared" si="31"/>
        <v>320,</v>
      </c>
      <c r="I304" t="str">
        <f t="shared" si="32"/>
        <v>'TSLA',</v>
      </c>
      <c r="J304" t="str">
        <f t="shared" si="33"/>
        <v>357.91,</v>
      </c>
      <c r="K304" t="str">
        <f t="shared" si="34"/>
        <v>'BUY',</v>
      </c>
      <c r="L304" t="str">
        <f t="shared" si="35"/>
        <v>'2024-03-21 21:27:00'),</v>
      </c>
      <c r="M304" t="str">
        <f t="shared" si="36"/>
        <v>(1691,320,'TSLA',357.91,'BUY','2024-03-21 21:27:00'),</v>
      </c>
    </row>
    <row r="305" spans="1:13" x14ac:dyDescent="0.2">
      <c r="A305">
        <v>9952</v>
      </c>
      <c r="B305">
        <v>377</v>
      </c>
      <c r="C305" t="s">
        <v>1066</v>
      </c>
      <c r="D305" t="s">
        <v>1369</v>
      </c>
      <c r="E305" t="s">
        <v>1068</v>
      </c>
      <c r="F305" s="8" t="s">
        <v>2365</v>
      </c>
      <c r="G305" t="str">
        <f t="shared" si="30"/>
        <v>(9952,</v>
      </c>
      <c r="H305" t="str">
        <f t="shared" si="31"/>
        <v>377,</v>
      </c>
      <c r="I305" t="str">
        <f t="shared" si="32"/>
        <v>'AMZN',</v>
      </c>
      <c r="J305" t="str">
        <f t="shared" si="33"/>
        <v>729.25,</v>
      </c>
      <c r="K305" t="str">
        <f t="shared" si="34"/>
        <v>'BUY',</v>
      </c>
      <c r="L305" t="str">
        <f t="shared" si="35"/>
        <v>'2024-01-05 09:37:00'),</v>
      </c>
      <c r="M305" t="str">
        <f t="shared" si="36"/>
        <v>(9952,377,'AMZN',729.25,'BUY','2024-01-05 09:37:00'),</v>
      </c>
    </row>
    <row r="306" spans="1:13" x14ac:dyDescent="0.2">
      <c r="A306">
        <v>9952</v>
      </c>
      <c r="B306">
        <v>768</v>
      </c>
      <c r="C306" t="s">
        <v>1063</v>
      </c>
      <c r="D306" t="s">
        <v>1370</v>
      </c>
      <c r="E306" t="s">
        <v>1068</v>
      </c>
      <c r="F306" s="8" t="s">
        <v>2366</v>
      </c>
      <c r="G306" t="str">
        <f t="shared" si="30"/>
        <v>(9952,</v>
      </c>
      <c r="H306" t="str">
        <f t="shared" si="31"/>
        <v>768,</v>
      </c>
      <c r="I306" t="str">
        <f t="shared" si="32"/>
        <v>'META',</v>
      </c>
      <c r="J306" t="str">
        <f t="shared" si="33"/>
        <v>760.04,</v>
      </c>
      <c r="K306" t="str">
        <f t="shared" si="34"/>
        <v>'BUY',</v>
      </c>
      <c r="L306" t="str">
        <f t="shared" si="35"/>
        <v>'2024-05-20 17:39:00'),</v>
      </c>
      <c r="M306" t="str">
        <f t="shared" si="36"/>
        <v>(9952,768,'META',760.04,'BUY','2024-05-20 17:39:00'),</v>
      </c>
    </row>
    <row r="307" spans="1:13" x14ac:dyDescent="0.2">
      <c r="A307">
        <v>1691</v>
      </c>
      <c r="B307">
        <v>149</v>
      </c>
      <c r="C307" t="s">
        <v>1069</v>
      </c>
      <c r="D307" t="s">
        <v>1371</v>
      </c>
      <c r="E307" t="s">
        <v>1062</v>
      </c>
      <c r="F307" s="8" t="s">
        <v>2367</v>
      </c>
      <c r="G307" t="str">
        <f t="shared" si="30"/>
        <v>(1691,</v>
      </c>
      <c r="H307" t="str">
        <f t="shared" si="31"/>
        <v>149,</v>
      </c>
      <c r="I307" t="str">
        <f t="shared" si="32"/>
        <v>'MSFT',</v>
      </c>
      <c r="J307" t="str">
        <f t="shared" si="33"/>
        <v>431.18,</v>
      </c>
      <c r="K307" t="str">
        <f t="shared" si="34"/>
        <v>'SELL',</v>
      </c>
      <c r="L307" t="str">
        <f t="shared" si="35"/>
        <v>'2024-01-25 01:53:00'),</v>
      </c>
      <c r="M307" t="str">
        <f t="shared" si="36"/>
        <v>(1691,149,'MSFT',431.18,'SELL','2024-01-25 01:53:00'),</v>
      </c>
    </row>
    <row r="308" spans="1:13" x14ac:dyDescent="0.2">
      <c r="A308">
        <v>5705</v>
      </c>
      <c r="B308">
        <v>670</v>
      </c>
      <c r="C308" t="s">
        <v>1069</v>
      </c>
      <c r="D308" t="s">
        <v>1372</v>
      </c>
      <c r="E308" t="s">
        <v>1062</v>
      </c>
      <c r="F308" s="8" t="s">
        <v>2368</v>
      </c>
      <c r="G308" t="str">
        <f t="shared" si="30"/>
        <v>(5705,</v>
      </c>
      <c r="H308" t="str">
        <f t="shared" si="31"/>
        <v>670,</v>
      </c>
      <c r="I308" t="str">
        <f t="shared" si="32"/>
        <v>'MSFT',</v>
      </c>
      <c r="J308" t="str">
        <f t="shared" si="33"/>
        <v>119.85,</v>
      </c>
      <c r="K308" t="str">
        <f t="shared" si="34"/>
        <v>'SELL',</v>
      </c>
      <c r="L308" t="str">
        <f t="shared" si="35"/>
        <v>'2024-05-14 15:24:00'),</v>
      </c>
      <c r="M308" t="str">
        <f t="shared" si="36"/>
        <v>(5705,670,'MSFT',119.85,'SELL','2024-05-14 15:24:00'),</v>
      </c>
    </row>
    <row r="309" spans="1:13" x14ac:dyDescent="0.2">
      <c r="A309">
        <v>7922</v>
      </c>
      <c r="B309">
        <v>83</v>
      </c>
      <c r="C309" t="s">
        <v>1060</v>
      </c>
      <c r="D309" t="s">
        <v>1373</v>
      </c>
      <c r="E309" t="s">
        <v>1062</v>
      </c>
      <c r="F309" s="8" t="s">
        <v>2369</v>
      </c>
      <c r="G309" t="str">
        <f t="shared" si="30"/>
        <v>(7922,</v>
      </c>
      <c r="H309" t="str">
        <f t="shared" si="31"/>
        <v>83,</v>
      </c>
      <c r="I309" t="str">
        <f t="shared" si="32"/>
        <v>'TSLA',</v>
      </c>
      <c r="J309" t="str">
        <f t="shared" si="33"/>
        <v>350.84,</v>
      </c>
      <c r="K309" t="str">
        <f t="shared" si="34"/>
        <v>'SELL',</v>
      </c>
      <c r="L309" t="str">
        <f t="shared" si="35"/>
        <v>'2024-01-12 04:14:00'),</v>
      </c>
      <c r="M309" t="str">
        <f t="shared" si="36"/>
        <v>(7922,83,'TSLA',350.84,'SELL','2024-01-12 04:14:00'),</v>
      </c>
    </row>
    <row r="310" spans="1:13" x14ac:dyDescent="0.2">
      <c r="A310">
        <v>7531</v>
      </c>
      <c r="B310">
        <v>256</v>
      </c>
      <c r="C310" t="s">
        <v>1063</v>
      </c>
      <c r="D310" t="s">
        <v>1374</v>
      </c>
      <c r="E310" t="s">
        <v>1068</v>
      </c>
      <c r="F310" s="8" t="s">
        <v>2370</v>
      </c>
      <c r="G310" t="str">
        <f t="shared" si="30"/>
        <v>(7531,</v>
      </c>
      <c r="H310" t="str">
        <f t="shared" si="31"/>
        <v>256,</v>
      </c>
      <c r="I310" t="str">
        <f t="shared" si="32"/>
        <v>'META',</v>
      </c>
      <c r="J310" t="str">
        <f t="shared" si="33"/>
        <v>812.79,</v>
      </c>
      <c r="K310" t="str">
        <f t="shared" si="34"/>
        <v>'BUY',</v>
      </c>
      <c r="L310" t="str">
        <f t="shared" si="35"/>
        <v>'2024-03-03 22:07:00'),</v>
      </c>
      <c r="M310" t="str">
        <f t="shared" si="36"/>
        <v>(7531,256,'META',812.79,'BUY','2024-03-03 22:07:00'),</v>
      </c>
    </row>
    <row r="311" spans="1:13" x14ac:dyDescent="0.2">
      <c r="A311">
        <v>4168</v>
      </c>
      <c r="B311">
        <v>29</v>
      </c>
      <c r="C311" t="s">
        <v>1069</v>
      </c>
      <c r="D311" t="s">
        <v>1375</v>
      </c>
      <c r="E311" t="s">
        <v>1062</v>
      </c>
      <c r="F311" s="8" t="s">
        <v>2371</v>
      </c>
      <c r="G311" t="str">
        <f t="shared" si="30"/>
        <v>(4168,</v>
      </c>
      <c r="H311" t="str">
        <f t="shared" si="31"/>
        <v>29,</v>
      </c>
      <c r="I311" t="str">
        <f t="shared" si="32"/>
        <v>'MSFT',</v>
      </c>
      <c r="J311" t="str">
        <f t="shared" si="33"/>
        <v>776.62,</v>
      </c>
      <c r="K311" t="str">
        <f t="shared" si="34"/>
        <v>'SELL',</v>
      </c>
      <c r="L311" t="str">
        <f t="shared" si="35"/>
        <v>'2024-04-04 04:41:00'),</v>
      </c>
      <c r="M311" t="str">
        <f t="shared" si="36"/>
        <v>(4168,29,'MSFT',776.62,'SELL','2024-04-04 04:41:00'),</v>
      </c>
    </row>
    <row r="312" spans="1:13" x14ac:dyDescent="0.2">
      <c r="A312">
        <v>5751</v>
      </c>
      <c r="B312">
        <v>885</v>
      </c>
      <c r="C312" t="s">
        <v>1063</v>
      </c>
      <c r="D312" t="s">
        <v>1376</v>
      </c>
      <c r="E312" t="s">
        <v>1062</v>
      </c>
      <c r="F312" s="8" t="s">
        <v>2372</v>
      </c>
      <c r="G312" t="str">
        <f t="shared" si="30"/>
        <v>(5751,</v>
      </c>
      <c r="H312" t="str">
        <f t="shared" si="31"/>
        <v>885,</v>
      </c>
      <c r="I312" t="str">
        <f t="shared" si="32"/>
        <v>'META',</v>
      </c>
      <c r="J312" t="str">
        <f t="shared" si="33"/>
        <v>125.48,</v>
      </c>
      <c r="K312" t="str">
        <f t="shared" si="34"/>
        <v>'SELL',</v>
      </c>
      <c r="L312" t="str">
        <f t="shared" si="35"/>
        <v>'2024-04-30 07:49:00'),</v>
      </c>
      <c r="M312" t="str">
        <f t="shared" si="36"/>
        <v>(5751,885,'META',125.48,'SELL','2024-04-30 07:49:00'),</v>
      </c>
    </row>
    <row r="313" spans="1:13" x14ac:dyDescent="0.2">
      <c r="A313">
        <v>1691</v>
      </c>
      <c r="B313">
        <v>895</v>
      </c>
      <c r="C313" t="s">
        <v>1069</v>
      </c>
      <c r="D313" t="s">
        <v>1377</v>
      </c>
      <c r="E313" t="s">
        <v>1062</v>
      </c>
      <c r="F313" s="8" t="s">
        <v>2373</v>
      </c>
      <c r="G313" t="str">
        <f t="shared" si="30"/>
        <v>(1691,</v>
      </c>
      <c r="H313" t="str">
        <f t="shared" si="31"/>
        <v>895,</v>
      </c>
      <c r="I313" t="str">
        <f t="shared" si="32"/>
        <v>'MSFT',</v>
      </c>
      <c r="J313" t="str">
        <f t="shared" si="33"/>
        <v>877.64,</v>
      </c>
      <c r="K313" t="str">
        <f t="shared" si="34"/>
        <v>'SELL',</v>
      </c>
      <c r="L313" t="str">
        <f t="shared" si="35"/>
        <v>'2024-04-24 06:59:00'),</v>
      </c>
      <c r="M313" t="str">
        <f t="shared" si="36"/>
        <v>(1691,895,'MSFT',877.64,'SELL','2024-04-24 06:59:00'),</v>
      </c>
    </row>
    <row r="314" spans="1:13" x14ac:dyDescent="0.2">
      <c r="A314">
        <v>9952</v>
      </c>
      <c r="B314">
        <v>157</v>
      </c>
      <c r="C314" t="s">
        <v>1066</v>
      </c>
      <c r="D314" t="s">
        <v>1378</v>
      </c>
      <c r="E314" t="s">
        <v>1062</v>
      </c>
      <c r="F314" s="8" t="s">
        <v>2374</v>
      </c>
      <c r="G314" t="str">
        <f t="shared" si="30"/>
        <v>(9952,</v>
      </c>
      <c r="H314" t="str">
        <f t="shared" si="31"/>
        <v>157,</v>
      </c>
      <c r="I314" t="str">
        <f t="shared" si="32"/>
        <v>'AMZN',</v>
      </c>
      <c r="J314" t="str">
        <f t="shared" si="33"/>
        <v>930.55,</v>
      </c>
      <c r="K314" t="str">
        <f t="shared" si="34"/>
        <v>'SELL',</v>
      </c>
      <c r="L314" t="str">
        <f t="shared" si="35"/>
        <v>'2024-05-12 20:11:00'),</v>
      </c>
      <c r="M314" t="str">
        <f t="shared" si="36"/>
        <v>(9952,157,'AMZN',930.55,'SELL','2024-05-12 20:11:00'),</v>
      </c>
    </row>
    <row r="315" spans="1:13" x14ac:dyDescent="0.2">
      <c r="A315">
        <v>4710</v>
      </c>
      <c r="B315">
        <v>433</v>
      </c>
      <c r="C315" t="s">
        <v>1063</v>
      </c>
      <c r="D315" t="s">
        <v>1379</v>
      </c>
      <c r="E315" t="s">
        <v>1068</v>
      </c>
      <c r="F315" s="8" t="s">
        <v>2375</v>
      </c>
      <c r="G315" t="str">
        <f t="shared" si="30"/>
        <v>(4710,</v>
      </c>
      <c r="H315" t="str">
        <f t="shared" si="31"/>
        <v>433,</v>
      </c>
      <c r="I315" t="str">
        <f t="shared" si="32"/>
        <v>'META',</v>
      </c>
      <c r="J315" t="str">
        <f t="shared" si="33"/>
        <v>246.94,</v>
      </c>
      <c r="K315" t="str">
        <f t="shared" si="34"/>
        <v>'BUY',</v>
      </c>
      <c r="L315" t="str">
        <f t="shared" si="35"/>
        <v>'2024-03-05 02:49:00'),</v>
      </c>
      <c r="M315" t="str">
        <f t="shared" si="36"/>
        <v>(4710,433,'META',246.94,'BUY','2024-03-05 02:49:00'),</v>
      </c>
    </row>
    <row r="316" spans="1:13" x14ac:dyDescent="0.2">
      <c r="A316">
        <v>5705</v>
      </c>
      <c r="B316">
        <v>773</v>
      </c>
      <c r="C316" t="s">
        <v>1066</v>
      </c>
      <c r="D316" t="s">
        <v>1380</v>
      </c>
      <c r="E316" t="s">
        <v>1068</v>
      </c>
      <c r="F316" s="8" t="s">
        <v>2376</v>
      </c>
      <c r="G316" t="str">
        <f t="shared" si="30"/>
        <v>(5705,</v>
      </c>
      <c r="H316" t="str">
        <f t="shared" si="31"/>
        <v>773,</v>
      </c>
      <c r="I316" t="str">
        <f t="shared" si="32"/>
        <v>'AMZN',</v>
      </c>
      <c r="J316" t="str">
        <f t="shared" si="33"/>
        <v>560.46,</v>
      </c>
      <c r="K316" t="str">
        <f t="shared" si="34"/>
        <v>'BUY',</v>
      </c>
      <c r="L316" t="str">
        <f t="shared" si="35"/>
        <v>'2024-05-26 14:14:00'),</v>
      </c>
      <c r="M316" t="str">
        <f t="shared" si="36"/>
        <v>(5705,773,'AMZN',560.46,'BUY','2024-05-26 14:14:00'),</v>
      </c>
    </row>
    <row r="317" spans="1:13" x14ac:dyDescent="0.2">
      <c r="A317">
        <v>7922</v>
      </c>
      <c r="B317">
        <v>421</v>
      </c>
      <c r="C317" t="s">
        <v>1060</v>
      </c>
      <c r="D317" t="s">
        <v>1381</v>
      </c>
      <c r="E317" t="s">
        <v>1062</v>
      </c>
      <c r="F317" s="8" t="s">
        <v>2377</v>
      </c>
      <c r="G317" t="str">
        <f t="shared" si="30"/>
        <v>(7922,</v>
      </c>
      <c r="H317" t="str">
        <f t="shared" si="31"/>
        <v>421,</v>
      </c>
      <c r="I317" t="str">
        <f t="shared" si="32"/>
        <v>'TSLA',</v>
      </c>
      <c r="J317" t="str">
        <f t="shared" si="33"/>
        <v>621.83,</v>
      </c>
      <c r="K317" t="str">
        <f t="shared" si="34"/>
        <v>'SELL',</v>
      </c>
      <c r="L317" t="str">
        <f t="shared" si="35"/>
        <v>'2024-03-22 19:39:00'),</v>
      </c>
      <c r="M317" t="str">
        <f t="shared" si="36"/>
        <v>(7922,421,'TSLA',621.83,'SELL','2024-03-22 19:39:00'),</v>
      </c>
    </row>
    <row r="318" spans="1:13" x14ac:dyDescent="0.2">
      <c r="A318">
        <v>4168</v>
      </c>
      <c r="B318">
        <v>848</v>
      </c>
      <c r="C318" t="s">
        <v>1063</v>
      </c>
      <c r="D318" t="s">
        <v>1382</v>
      </c>
      <c r="E318" t="s">
        <v>1062</v>
      </c>
      <c r="F318" s="8" t="s">
        <v>2378</v>
      </c>
      <c r="G318" t="str">
        <f t="shared" si="30"/>
        <v>(4168,</v>
      </c>
      <c r="H318" t="str">
        <f t="shared" si="31"/>
        <v>848,</v>
      </c>
      <c r="I318" t="str">
        <f t="shared" si="32"/>
        <v>'META',</v>
      </c>
      <c r="J318" t="str">
        <f t="shared" si="33"/>
        <v>552.08,</v>
      </c>
      <c r="K318" t="str">
        <f t="shared" si="34"/>
        <v>'SELL',</v>
      </c>
      <c r="L318" t="str">
        <f t="shared" si="35"/>
        <v>'2024-02-15 09:53:00'),</v>
      </c>
      <c r="M318" t="str">
        <f t="shared" si="36"/>
        <v>(4168,848,'META',552.08,'SELL','2024-02-15 09:53:00'),</v>
      </c>
    </row>
    <row r="319" spans="1:13" x14ac:dyDescent="0.2">
      <c r="A319">
        <v>4710</v>
      </c>
      <c r="B319">
        <v>541</v>
      </c>
      <c r="C319" t="s">
        <v>1069</v>
      </c>
      <c r="D319" t="s">
        <v>1383</v>
      </c>
      <c r="E319" t="s">
        <v>1062</v>
      </c>
      <c r="F319" s="8" t="s">
        <v>2379</v>
      </c>
      <c r="G319" t="str">
        <f t="shared" si="30"/>
        <v>(4710,</v>
      </c>
      <c r="H319" t="str">
        <f t="shared" si="31"/>
        <v>541,</v>
      </c>
      <c r="I319" t="str">
        <f t="shared" si="32"/>
        <v>'MSFT',</v>
      </c>
      <c r="J319" t="str">
        <f t="shared" si="33"/>
        <v>688.04,</v>
      </c>
      <c r="K319" t="str">
        <f t="shared" si="34"/>
        <v>'SELL',</v>
      </c>
      <c r="L319" t="str">
        <f t="shared" si="35"/>
        <v>'2024-04-09 22:37:00'),</v>
      </c>
      <c r="M319" t="str">
        <f t="shared" si="36"/>
        <v>(4710,541,'MSFT',688.04,'SELL','2024-04-09 22:37:00'),</v>
      </c>
    </row>
    <row r="320" spans="1:13" x14ac:dyDescent="0.2">
      <c r="A320">
        <v>6298</v>
      </c>
      <c r="B320">
        <v>187</v>
      </c>
      <c r="C320" t="s">
        <v>1063</v>
      </c>
      <c r="D320" t="s">
        <v>1384</v>
      </c>
      <c r="E320" t="s">
        <v>1068</v>
      </c>
      <c r="F320" s="8" t="s">
        <v>2380</v>
      </c>
      <c r="G320" t="str">
        <f t="shared" si="30"/>
        <v>(6298,</v>
      </c>
      <c r="H320" t="str">
        <f t="shared" si="31"/>
        <v>187,</v>
      </c>
      <c r="I320" t="str">
        <f t="shared" si="32"/>
        <v>'META',</v>
      </c>
      <c r="J320" t="str">
        <f t="shared" si="33"/>
        <v>954.65,</v>
      </c>
      <c r="K320" t="str">
        <f t="shared" si="34"/>
        <v>'BUY',</v>
      </c>
      <c r="L320" t="str">
        <f t="shared" si="35"/>
        <v>'2024-02-21 02:13:00'),</v>
      </c>
      <c r="M320" t="str">
        <f t="shared" si="36"/>
        <v>(6298,187,'META',954.65,'BUY','2024-02-21 02:13:00'),</v>
      </c>
    </row>
    <row r="321" spans="1:13" x14ac:dyDescent="0.2">
      <c r="A321">
        <v>2941</v>
      </c>
      <c r="B321">
        <v>101</v>
      </c>
      <c r="C321" t="s">
        <v>1066</v>
      </c>
      <c r="D321" t="s">
        <v>1385</v>
      </c>
      <c r="E321" t="s">
        <v>1068</v>
      </c>
      <c r="F321" s="8" t="s">
        <v>2381</v>
      </c>
      <c r="G321" t="str">
        <f t="shared" si="30"/>
        <v>(2941,</v>
      </c>
      <c r="H321" t="str">
        <f t="shared" si="31"/>
        <v>101,</v>
      </c>
      <c r="I321" t="str">
        <f t="shared" si="32"/>
        <v>'AMZN',</v>
      </c>
      <c r="J321" t="str">
        <f t="shared" si="33"/>
        <v>727.79,</v>
      </c>
      <c r="K321" t="str">
        <f t="shared" si="34"/>
        <v>'BUY',</v>
      </c>
      <c r="L321" t="str">
        <f t="shared" si="35"/>
        <v>'2024-05-04 18:55:00'),</v>
      </c>
      <c r="M321" t="str">
        <f t="shared" si="36"/>
        <v>(2941,101,'AMZN',727.79,'BUY','2024-05-04 18:55:00'),</v>
      </c>
    </row>
    <row r="322" spans="1:13" x14ac:dyDescent="0.2">
      <c r="A322">
        <v>5751</v>
      </c>
      <c r="B322">
        <v>800</v>
      </c>
      <c r="C322" t="s">
        <v>1063</v>
      </c>
      <c r="D322" t="s">
        <v>1386</v>
      </c>
      <c r="E322" t="s">
        <v>1062</v>
      </c>
      <c r="F322" s="8" t="s">
        <v>2382</v>
      </c>
      <c r="G322" t="str">
        <f t="shared" si="30"/>
        <v>(5751,</v>
      </c>
      <c r="H322" t="str">
        <f t="shared" si="31"/>
        <v>800,</v>
      </c>
      <c r="I322" t="str">
        <f t="shared" si="32"/>
        <v>'META',</v>
      </c>
      <c r="J322" t="str">
        <f t="shared" si="33"/>
        <v>409.51,</v>
      </c>
      <c r="K322" t="str">
        <f t="shared" si="34"/>
        <v>'SELL',</v>
      </c>
      <c r="L322" t="str">
        <f t="shared" si="35"/>
        <v>'2024-05-22 10:31:00'),</v>
      </c>
      <c r="M322" t="str">
        <f t="shared" si="36"/>
        <v>(5751,800,'META',409.51,'SELL','2024-05-22 10:31:00'),</v>
      </c>
    </row>
    <row r="323" spans="1:13" x14ac:dyDescent="0.2">
      <c r="A323">
        <v>5751</v>
      </c>
      <c r="B323">
        <v>446</v>
      </c>
      <c r="C323" t="s">
        <v>1060</v>
      </c>
      <c r="D323" t="s">
        <v>1387</v>
      </c>
      <c r="E323" t="s">
        <v>1062</v>
      </c>
      <c r="F323" s="8" t="s">
        <v>2383</v>
      </c>
      <c r="G323" t="str">
        <f t="shared" ref="G323:G386" si="37">"("&amp;A323&amp;","</f>
        <v>(5751,</v>
      </c>
      <c r="H323" t="str">
        <f t="shared" ref="H323:H386" si="38">B323&amp;","</f>
        <v>446,</v>
      </c>
      <c r="I323" t="str">
        <f t="shared" ref="I323:I386" si="39">"'"&amp;C323&amp;"',"</f>
        <v>'TSLA',</v>
      </c>
      <c r="J323" t="str">
        <f t="shared" ref="J323:J386" si="40">D323&amp;","</f>
        <v>281.01,</v>
      </c>
      <c r="K323" t="str">
        <f t="shared" ref="K323:K386" si="41">"'"&amp;E323&amp;"',"</f>
        <v>'SELL',</v>
      </c>
      <c r="L323" t="str">
        <f t="shared" ref="L323:L386" si="42">"'"&amp;F323&amp;"'),"</f>
        <v>'2024-04-19 10:50:00'),</v>
      </c>
      <c r="M323" t="str">
        <f t="shared" ref="M323:M386" si="43">G323&amp;H323&amp;I323&amp;J323&amp;K323&amp;L323</f>
        <v>(5751,446,'TSLA',281.01,'SELL','2024-04-19 10:50:00'),</v>
      </c>
    </row>
    <row r="324" spans="1:13" x14ac:dyDescent="0.2">
      <c r="A324">
        <v>5297</v>
      </c>
      <c r="B324">
        <v>823</v>
      </c>
      <c r="C324" t="s">
        <v>1066</v>
      </c>
      <c r="D324" t="s">
        <v>1388</v>
      </c>
      <c r="E324" t="s">
        <v>1068</v>
      </c>
      <c r="F324" s="8" t="s">
        <v>2384</v>
      </c>
      <c r="G324" t="str">
        <f t="shared" si="37"/>
        <v>(5297,</v>
      </c>
      <c r="H324" t="str">
        <f t="shared" si="38"/>
        <v>823,</v>
      </c>
      <c r="I324" t="str">
        <f t="shared" si="39"/>
        <v>'AMZN',</v>
      </c>
      <c r="J324" t="str">
        <f t="shared" si="40"/>
        <v>968.93,</v>
      </c>
      <c r="K324" t="str">
        <f t="shared" si="41"/>
        <v>'BUY',</v>
      </c>
      <c r="L324" t="str">
        <f t="shared" si="42"/>
        <v>'2024-03-27 23:01:00'),</v>
      </c>
      <c r="M324" t="str">
        <f t="shared" si="43"/>
        <v>(5297,823,'AMZN',968.93,'BUY','2024-03-27 23:01:00'),</v>
      </c>
    </row>
    <row r="325" spans="1:13" x14ac:dyDescent="0.2">
      <c r="A325">
        <v>4669</v>
      </c>
      <c r="B325">
        <v>558</v>
      </c>
      <c r="C325" t="s">
        <v>1063</v>
      </c>
      <c r="D325" t="s">
        <v>1389</v>
      </c>
      <c r="E325" t="s">
        <v>1062</v>
      </c>
      <c r="F325" s="8" t="s">
        <v>2385</v>
      </c>
      <c r="G325" t="str">
        <f t="shared" si="37"/>
        <v>(4669,</v>
      </c>
      <c r="H325" t="str">
        <f t="shared" si="38"/>
        <v>558,</v>
      </c>
      <c r="I325" t="str">
        <f t="shared" si="39"/>
        <v>'META',</v>
      </c>
      <c r="J325" t="str">
        <f t="shared" si="40"/>
        <v>168.72,</v>
      </c>
      <c r="K325" t="str">
        <f t="shared" si="41"/>
        <v>'SELL',</v>
      </c>
      <c r="L325" t="str">
        <f t="shared" si="42"/>
        <v>'2024-02-10 10:28:00'),</v>
      </c>
      <c r="M325" t="str">
        <f t="shared" si="43"/>
        <v>(4669,558,'META',168.72,'SELL','2024-02-10 10:28:00'),</v>
      </c>
    </row>
    <row r="326" spans="1:13" x14ac:dyDescent="0.2">
      <c r="A326">
        <v>5751</v>
      </c>
      <c r="B326">
        <v>161</v>
      </c>
      <c r="C326" t="s">
        <v>1066</v>
      </c>
      <c r="D326" t="s">
        <v>1390</v>
      </c>
      <c r="E326" t="s">
        <v>1068</v>
      </c>
      <c r="F326" s="8" t="s">
        <v>2386</v>
      </c>
      <c r="G326" t="str">
        <f t="shared" si="37"/>
        <v>(5751,</v>
      </c>
      <c r="H326" t="str">
        <f t="shared" si="38"/>
        <v>161,</v>
      </c>
      <c r="I326" t="str">
        <f t="shared" si="39"/>
        <v>'AMZN',</v>
      </c>
      <c r="J326" t="str">
        <f t="shared" si="40"/>
        <v>181.17,</v>
      </c>
      <c r="K326" t="str">
        <f t="shared" si="41"/>
        <v>'BUY',</v>
      </c>
      <c r="L326" t="str">
        <f t="shared" si="42"/>
        <v>'2024-03-07 17:44:00'),</v>
      </c>
      <c r="M326" t="str">
        <f t="shared" si="43"/>
        <v>(5751,161,'AMZN',181.17,'BUY','2024-03-07 17:44:00'),</v>
      </c>
    </row>
    <row r="327" spans="1:13" x14ac:dyDescent="0.2">
      <c r="A327">
        <v>4710</v>
      </c>
      <c r="B327">
        <v>386</v>
      </c>
      <c r="C327" t="s">
        <v>1060</v>
      </c>
      <c r="D327" t="s">
        <v>1391</v>
      </c>
      <c r="E327" t="s">
        <v>1062</v>
      </c>
      <c r="F327" s="8" t="s">
        <v>2387</v>
      </c>
      <c r="G327" t="str">
        <f t="shared" si="37"/>
        <v>(4710,</v>
      </c>
      <c r="H327" t="str">
        <f t="shared" si="38"/>
        <v>386,</v>
      </c>
      <c r="I327" t="str">
        <f t="shared" si="39"/>
        <v>'TSLA',</v>
      </c>
      <c r="J327" t="str">
        <f t="shared" si="40"/>
        <v>573.55,</v>
      </c>
      <c r="K327" t="str">
        <f t="shared" si="41"/>
        <v>'SELL',</v>
      </c>
      <c r="L327" t="str">
        <f t="shared" si="42"/>
        <v>'2024-03-16 00:58:00'),</v>
      </c>
      <c r="M327" t="str">
        <f t="shared" si="43"/>
        <v>(4710,386,'TSLA',573.55,'SELL','2024-03-16 00:58:00'),</v>
      </c>
    </row>
    <row r="328" spans="1:13" x14ac:dyDescent="0.2">
      <c r="A328">
        <v>7531</v>
      </c>
      <c r="B328">
        <v>885</v>
      </c>
      <c r="C328" t="s">
        <v>1069</v>
      </c>
      <c r="D328" t="s">
        <v>1392</v>
      </c>
      <c r="E328" t="s">
        <v>1062</v>
      </c>
      <c r="F328" s="8" t="s">
        <v>2388</v>
      </c>
      <c r="G328" t="str">
        <f t="shared" si="37"/>
        <v>(7531,</v>
      </c>
      <c r="H328" t="str">
        <f t="shared" si="38"/>
        <v>885,</v>
      </c>
      <c r="I328" t="str">
        <f t="shared" si="39"/>
        <v>'MSFT',</v>
      </c>
      <c r="J328" t="str">
        <f t="shared" si="40"/>
        <v>698.62,</v>
      </c>
      <c r="K328" t="str">
        <f t="shared" si="41"/>
        <v>'SELL',</v>
      </c>
      <c r="L328" t="str">
        <f t="shared" si="42"/>
        <v>'2024-04-25 04:37:00'),</v>
      </c>
      <c r="M328" t="str">
        <f t="shared" si="43"/>
        <v>(7531,885,'MSFT',698.62,'SELL','2024-04-25 04:37:00'),</v>
      </c>
    </row>
    <row r="329" spans="1:13" x14ac:dyDescent="0.2">
      <c r="A329">
        <v>7922</v>
      </c>
      <c r="B329">
        <v>223</v>
      </c>
      <c r="C329" t="s">
        <v>1069</v>
      </c>
      <c r="D329" t="s">
        <v>1393</v>
      </c>
      <c r="E329" t="s">
        <v>1062</v>
      </c>
      <c r="F329" s="8" t="s">
        <v>2389</v>
      </c>
      <c r="G329" t="str">
        <f t="shared" si="37"/>
        <v>(7922,</v>
      </c>
      <c r="H329" t="str">
        <f t="shared" si="38"/>
        <v>223,</v>
      </c>
      <c r="I329" t="str">
        <f t="shared" si="39"/>
        <v>'MSFT',</v>
      </c>
      <c r="J329" t="str">
        <f t="shared" si="40"/>
        <v>230.7,</v>
      </c>
      <c r="K329" t="str">
        <f t="shared" si="41"/>
        <v>'SELL',</v>
      </c>
      <c r="L329" t="str">
        <f t="shared" si="42"/>
        <v>'2024-02-14 00:27:00'),</v>
      </c>
      <c r="M329" t="str">
        <f t="shared" si="43"/>
        <v>(7922,223,'MSFT',230.7,'SELL','2024-02-14 00:27:00'),</v>
      </c>
    </row>
    <row r="330" spans="1:13" x14ac:dyDescent="0.2">
      <c r="A330">
        <v>5705</v>
      </c>
      <c r="B330">
        <v>947</v>
      </c>
      <c r="C330" t="s">
        <v>1066</v>
      </c>
      <c r="D330" t="s">
        <v>1394</v>
      </c>
      <c r="E330" t="s">
        <v>1062</v>
      </c>
      <c r="F330" s="8" t="s">
        <v>2390</v>
      </c>
      <c r="G330" t="str">
        <f t="shared" si="37"/>
        <v>(5705,</v>
      </c>
      <c r="H330" t="str">
        <f t="shared" si="38"/>
        <v>947,</v>
      </c>
      <c r="I330" t="str">
        <f t="shared" si="39"/>
        <v>'AMZN',</v>
      </c>
      <c r="J330" t="str">
        <f t="shared" si="40"/>
        <v>317.71,</v>
      </c>
      <c r="K330" t="str">
        <f t="shared" si="41"/>
        <v>'SELL',</v>
      </c>
      <c r="L330" t="str">
        <f t="shared" si="42"/>
        <v>'2024-05-23 18:44:00'),</v>
      </c>
      <c r="M330" t="str">
        <f t="shared" si="43"/>
        <v>(5705,947,'AMZN',317.71,'SELL','2024-05-23 18:44:00'),</v>
      </c>
    </row>
    <row r="331" spans="1:13" x14ac:dyDescent="0.2">
      <c r="A331">
        <v>4710</v>
      </c>
      <c r="B331">
        <v>488</v>
      </c>
      <c r="C331" t="s">
        <v>1060</v>
      </c>
      <c r="D331" t="s">
        <v>1395</v>
      </c>
      <c r="E331" t="s">
        <v>1062</v>
      </c>
      <c r="F331" s="8" t="s">
        <v>2391</v>
      </c>
      <c r="G331" t="str">
        <f t="shared" si="37"/>
        <v>(4710,</v>
      </c>
      <c r="H331" t="str">
        <f t="shared" si="38"/>
        <v>488,</v>
      </c>
      <c r="I331" t="str">
        <f t="shared" si="39"/>
        <v>'TSLA',</v>
      </c>
      <c r="J331" t="str">
        <f t="shared" si="40"/>
        <v>512.43,</v>
      </c>
      <c r="K331" t="str">
        <f t="shared" si="41"/>
        <v>'SELL',</v>
      </c>
      <c r="L331" t="str">
        <f t="shared" si="42"/>
        <v>'2024-01-18 07:48:00'),</v>
      </c>
      <c r="M331" t="str">
        <f t="shared" si="43"/>
        <v>(4710,488,'TSLA',512.43,'SELL','2024-01-18 07:48:00'),</v>
      </c>
    </row>
    <row r="332" spans="1:13" x14ac:dyDescent="0.2">
      <c r="A332">
        <v>4168</v>
      </c>
      <c r="B332">
        <v>462</v>
      </c>
      <c r="C332" t="s">
        <v>1066</v>
      </c>
      <c r="D332" t="s">
        <v>1396</v>
      </c>
      <c r="E332" t="s">
        <v>1068</v>
      </c>
      <c r="F332" s="8" t="s">
        <v>2392</v>
      </c>
      <c r="G332" t="str">
        <f t="shared" si="37"/>
        <v>(4168,</v>
      </c>
      <c r="H332" t="str">
        <f t="shared" si="38"/>
        <v>462,</v>
      </c>
      <c r="I332" t="str">
        <f t="shared" si="39"/>
        <v>'AMZN',</v>
      </c>
      <c r="J332" t="str">
        <f t="shared" si="40"/>
        <v>881.46,</v>
      </c>
      <c r="K332" t="str">
        <f t="shared" si="41"/>
        <v>'BUY',</v>
      </c>
      <c r="L332" t="str">
        <f t="shared" si="42"/>
        <v>'2024-01-18 01:48:00'),</v>
      </c>
      <c r="M332" t="str">
        <f t="shared" si="43"/>
        <v>(4168,462,'AMZN',881.46,'BUY','2024-01-18 01:48:00'),</v>
      </c>
    </row>
    <row r="333" spans="1:13" x14ac:dyDescent="0.2">
      <c r="A333">
        <v>5705</v>
      </c>
      <c r="B333">
        <v>554</v>
      </c>
      <c r="C333" t="s">
        <v>1063</v>
      </c>
      <c r="D333" t="s">
        <v>1397</v>
      </c>
      <c r="E333" t="s">
        <v>1068</v>
      </c>
      <c r="F333" s="8" t="s">
        <v>2393</v>
      </c>
      <c r="G333" t="str">
        <f t="shared" si="37"/>
        <v>(5705,</v>
      </c>
      <c r="H333" t="str">
        <f t="shared" si="38"/>
        <v>554,</v>
      </c>
      <c r="I333" t="str">
        <f t="shared" si="39"/>
        <v>'META',</v>
      </c>
      <c r="J333" t="str">
        <f t="shared" si="40"/>
        <v>110.41,</v>
      </c>
      <c r="K333" t="str">
        <f t="shared" si="41"/>
        <v>'BUY',</v>
      </c>
      <c r="L333" t="str">
        <f t="shared" si="42"/>
        <v>'2024-03-10 07:56:00'),</v>
      </c>
      <c r="M333" t="str">
        <f t="shared" si="43"/>
        <v>(5705,554,'META',110.41,'BUY','2024-03-10 07:56:00'),</v>
      </c>
    </row>
    <row r="334" spans="1:13" x14ac:dyDescent="0.2">
      <c r="A334">
        <v>2941</v>
      </c>
      <c r="B334">
        <v>625</v>
      </c>
      <c r="C334" t="s">
        <v>1066</v>
      </c>
      <c r="D334" t="s">
        <v>1398</v>
      </c>
      <c r="E334" t="s">
        <v>1062</v>
      </c>
      <c r="F334" s="8" t="s">
        <v>2394</v>
      </c>
      <c r="G334" t="str">
        <f t="shared" si="37"/>
        <v>(2941,</v>
      </c>
      <c r="H334" t="str">
        <f t="shared" si="38"/>
        <v>625,</v>
      </c>
      <c r="I334" t="str">
        <f t="shared" si="39"/>
        <v>'AMZN',</v>
      </c>
      <c r="J334" t="str">
        <f t="shared" si="40"/>
        <v>935.83,</v>
      </c>
      <c r="K334" t="str">
        <f t="shared" si="41"/>
        <v>'SELL',</v>
      </c>
      <c r="L334" t="str">
        <f t="shared" si="42"/>
        <v>'2024-02-11 13:31:00'),</v>
      </c>
      <c r="M334" t="str">
        <f t="shared" si="43"/>
        <v>(2941,625,'AMZN',935.83,'SELL','2024-02-11 13:31:00'),</v>
      </c>
    </row>
    <row r="335" spans="1:13" x14ac:dyDescent="0.2">
      <c r="A335">
        <v>1691</v>
      </c>
      <c r="B335">
        <v>203</v>
      </c>
      <c r="C335" t="s">
        <v>1063</v>
      </c>
      <c r="D335" t="s">
        <v>1399</v>
      </c>
      <c r="E335" t="s">
        <v>1068</v>
      </c>
      <c r="F335" s="8" t="s">
        <v>2395</v>
      </c>
      <c r="G335" t="str">
        <f t="shared" si="37"/>
        <v>(1691,</v>
      </c>
      <c r="H335" t="str">
        <f t="shared" si="38"/>
        <v>203,</v>
      </c>
      <c r="I335" t="str">
        <f t="shared" si="39"/>
        <v>'META',</v>
      </c>
      <c r="J335" t="str">
        <f t="shared" si="40"/>
        <v>520.28,</v>
      </c>
      <c r="K335" t="str">
        <f t="shared" si="41"/>
        <v>'BUY',</v>
      </c>
      <c r="L335" t="str">
        <f t="shared" si="42"/>
        <v>'2024-04-28 14:38:00'),</v>
      </c>
      <c r="M335" t="str">
        <f t="shared" si="43"/>
        <v>(1691,203,'META',520.28,'BUY','2024-04-28 14:38:00'),</v>
      </c>
    </row>
    <row r="336" spans="1:13" x14ac:dyDescent="0.2">
      <c r="A336">
        <v>1691</v>
      </c>
      <c r="B336">
        <v>256</v>
      </c>
      <c r="C336" t="s">
        <v>1063</v>
      </c>
      <c r="D336" t="s">
        <v>1400</v>
      </c>
      <c r="E336" t="s">
        <v>1062</v>
      </c>
      <c r="F336" s="8" t="s">
        <v>2396</v>
      </c>
      <c r="G336" t="str">
        <f t="shared" si="37"/>
        <v>(1691,</v>
      </c>
      <c r="H336" t="str">
        <f t="shared" si="38"/>
        <v>256,</v>
      </c>
      <c r="I336" t="str">
        <f t="shared" si="39"/>
        <v>'META',</v>
      </c>
      <c r="J336" t="str">
        <f t="shared" si="40"/>
        <v>348.15,</v>
      </c>
      <c r="K336" t="str">
        <f t="shared" si="41"/>
        <v>'SELL',</v>
      </c>
      <c r="L336" t="str">
        <f t="shared" si="42"/>
        <v>'2024-01-31 10:14:00'),</v>
      </c>
      <c r="M336" t="str">
        <f t="shared" si="43"/>
        <v>(1691,256,'META',348.15,'SELL','2024-01-31 10:14:00'),</v>
      </c>
    </row>
    <row r="337" spans="1:13" x14ac:dyDescent="0.2">
      <c r="A337">
        <v>4168</v>
      </c>
      <c r="B337">
        <v>468</v>
      </c>
      <c r="C337" t="s">
        <v>1060</v>
      </c>
      <c r="D337" t="s">
        <v>1401</v>
      </c>
      <c r="E337" t="s">
        <v>1068</v>
      </c>
      <c r="F337" s="8" t="s">
        <v>2397</v>
      </c>
      <c r="G337" t="str">
        <f t="shared" si="37"/>
        <v>(4168,</v>
      </c>
      <c r="H337" t="str">
        <f t="shared" si="38"/>
        <v>468,</v>
      </c>
      <c r="I337" t="str">
        <f t="shared" si="39"/>
        <v>'TSLA',</v>
      </c>
      <c r="J337" t="str">
        <f t="shared" si="40"/>
        <v>817.56,</v>
      </c>
      <c r="K337" t="str">
        <f t="shared" si="41"/>
        <v>'BUY',</v>
      </c>
      <c r="L337" t="str">
        <f t="shared" si="42"/>
        <v>'2024-01-24 08:53:00'),</v>
      </c>
      <c r="M337" t="str">
        <f t="shared" si="43"/>
        <v>(4168,468,'TSLA',817.56,'BUY','2024-01-24 08:53:00'),</v>
      </c>
    </row>
    <row r="338" spans="1:13" x14ac:dyDescent="0.2">
      <c r="A338">
        <v>7922</v>
      </c>
      <c r="B338">
        <v>792</v>
      </c>
      <c r="C338" t="s">
        <v>1066</v>
      </c>
      <c r="D338" t="s">
        <v>1402</v>
      </c>
      <c r="E338" t="s">
        <v>1062</v>
      </c>
      <c r="F338" s="8" t="s">
        <v>2398</v>
      </c>
      <c r="G338" t="str">
        <f t="shared" si="37"/>
        <v>(7922,</v>
      </c>
      <c r="H338" t="str">
        <f t="shared" si="38"/>
        <v>792,</v>
      </c>
      <c r="I338" t="str">
        <f t="shared" si="39"/>
        <v>'AMZN',</v>
      </c>
      <c r="J338" t="str">
        <f t="shared" si="40"/>
        <v>217.77,</v>
      </c>
      <c r="K338" t="str">
        <f t="shared" si="41"/>
        <v>'SELL',</v>
      </c>
      <c r="L338" t="str">
        <f t="shared" si="42"/>
        <v>'2024-03-06 13:02:00'),</v>
      </c>
      <c r="M338" t="str">
        <f t="shared" si="43"/>
        <v>(7922,792,'AMZN',217.77,'SELL','2024-03-06 13:02:00'),</v>
      </c>
    </row>
    <row r="339" spans="1:13" x14ac:dyDescent="0.2">
      <c r="A339">
        <v>2941</v>
      </c>
      <c r="B339">
        <v>318</v>
      </c>
      <c r="C339" t="s">
        <v>1069</v>
      </c>
      <c r="D339" t="s">
        <v>1403</v>
      </c>
      <c r="E339" t="s">
        <v>1068</v>
      </c>
      <c r="F339" s="8" t="s">
        <v>2399</v>
      </c>
      <c r="G339" t="str">
        <f t="shared" si="37"/>
        <v>(2941,</v>
      </c>
      <c r="H339" t="str">
        <f t="shared" si="38"/>
        <v>318,</v>
      </c>
      <c r="I339" t="str">
        <f t="shared" si="39"/>
        <v>'MSFT',</v>
      </c>
      <c r="J339" t="str">
        <f t="shared" si="40"/>
        <v>587.71,</v>
      </c>
      <c r="K339" t="str">
        <f t="shared" si="41"/>
        <v>'BUY',</v>
      </c>
      <c r="L339" t="str">
        <f t="shared" si="42"/>
        <v>'2024-01-10 04:30:00'),</v>
      </c>
      <c r="M339" t="str">
        <f t="shared" si="43"/>
        <v>(2941,318,'MSFT',587.71,'BUY','2024-01-10 04:30:00'),</v>
      </c>
    </row>
    <row r="340" spans="1:13" x14ac:dyDescent="0.2">
      <c r="A340">
        <v>7938</v>
      </c>
      <c r="B340">
        <v>633</v>
      </c>
      <c r="C340" t="s">
        <v>1060</v>
      </c>
      <c r="D340" t="s">
        <v>1404</v>
      </c>
      <c r="E340" t="s">
        <v>1062</v>
      </c>
      <c r="F340" s="8" t="s">
        <v>2400</v>
      </c>
      <c r="G340" t="str">
        <f t="shared" si="37"/>
        <v>(7938,</v>
      </c>
      <c r="H340" t="str">
        <f t="shared" si="38"/>
        <v>633,</v>
      </c>
      <c r="I340" t="str">
        <f t="shared" si="39"/>
        <v>'TSLA',</v>
      </c>
      <c r="J340" t="str">
        <f t="shared" si="40"/>
        <v>426.04,</v>
      </c>
      <c r="K340" t="str">
        <f t="shared" si="41"/>
        <v>'SELL',</v>
      </c>
      <c r="L340" t="str">
        <f t="shared" si="42"/>
        <v>'2024-03-10 20:07:00'),</v>
      </c>
      <c r="M340" t="str">
        <f t="shared" si="43"/>
        <v>(7938,633,'TSLA',426.04,'SELL','2024-03-10 20:07:00'),</v>
      </c>
    </row>
    <row r="341" spans="1:13" x14ac:dyDescent="0.2">
      <c r="A341">
        <v>7922</v>
      </c>
      <c r="B341">
        <v>839</v>
      </c>
      <c r="C341" t="s">
        <v>1063</v>
      </c>
      <c r="D341" t="s">
        <v>1405</v>
      </c>
      <c r="E341" t="s">
        <v>1068</v>
      </c>
      <c r="F341" s="8" t="s">
        <v>2401</v>
      </c>
      <c r="G341" t="str">
        <f t="shared" si="37"/>
        <v>(7922,</v>
      </c>
      <c r="H341" t="str">
        <f t="shared" si="38"/>
        <v>839,</v>
      </c>
      <c r="I341" t="str">
        <f t="shared" si="39"/>
        <v>'META',</v>
      </c>
      <c r="J341" t="str">
        <f t="shared" si="40"/>
        <v>365.19,</v>
      </c>
      <c r="K341" t="str">
        <f t="shared" si="41"/>
        <v>'BUY',</v>
      </c>
      <c r="L341" t="str">
        <f t="shared" si="42"/>
        <v>'2024-01-21 03:50:00'),</v>
      </c>
      <c r="M341" t="str">
        <f t="shared" si="43"/>
        <v>(7922,839,'META',365.19,'BUY','2024-01-21 03:50:00'),</v>
      </c>
    </row>
    <row r="342" spans="1:13" x14ac:dyDescent="0.2">
      <c r="A342">
        <v>5705</v>
      </c>
      <c r="B342">
        <v>205</v>
      </c>
      <c r="C342" t="s">
        <v>1060</v>
      </c>
      <c r="D342" t="s">
        <v>1406</v>
      </c>
      <c r="E342" t="s">
        <v>1068</v>
      </c>
      <c r="F342" s="8" t="s">
        <v>2402</v>
      </c>
      <c r="G342" t="str">
        <f t="shared" si="37"/>
        <v>(5705,</v>
      </c>
      <c r="H342" t="str">
        <f t="shared" si="38"/>
        <v>205,</v>
      </c>
      <c r="I342" t="str">
        <f t="shared" si="39"/>
        <v>'TSLA',</v>
      </c>
      <c r="J342" t="str">
        <f t="shared" si="40"/>
        <v>969.17,</v>
      </c>
      <c r="K342" t="str">
        <f t="shared" si="41"/>
        <v>'BUY',</v>
      </c>
      <c r="L342" t="str">
        <f t="shared" si="42"/>
        <v>'2024-01-02 14:52:00'),</v>
      </c>
      <c r="M342" t="str">
        <f t="shared" si="43"/>
        <v>(5705,205,'TSLA',969.17,'BUY','2024-01-02 14:52:00'),</v>
      </c>
    </row>
    <row r="343" spans="1:13" x14ac:dyDescent="0.2">
      <c r="A343">
        <v>5258</v>
      </c>
      <c r="B343">
        <v>316</v>
      </c>
      <c r="C343" t="s">
        <v>1069</v>
      </c>
      <c r="D343" t="s">
        <v>1407</v>
      </c>
      <c r="E343" t="s">
        <v>1068</v>
      </c>
      <c r="F343" s="8" t="s">
        <v>2403</v>
      </c>
      <c r="G343" t="str">
        <f t="shared" si="37"/>
        <v>(5258,</v>
      </c>
      <c r="H343" t="str">
        <f t="shared" si="38"/>
        <v>316,</v>
      </c>
      <c r="I343" t="str">
        <f t="shared" si="39"/>
        <v>'MSFT',</v>
      </c>
      <c r="J343" t="str">
        <f t="shared" si="40"/>
        <v>848.1,</v>
      </c>
      <c r="K343" t="str">
        <f t="shared" si="41"/>
        <v>'BUY',</v>
      </c>
      <c r="L343" t="str">
        <f t="shared" si="42"/>
        <v>'2024-02-19 00:42:00'),</v>
      </c>
      <c r="M343" t="str">
        <f t="shared" si="43"/>
        <v>(5258,316,'MSFT',848.1,'BUY','2024-02-19 00:42:00'),</v>
      </c>
    </row>
    <row r="344" spans="1:13" x14ac:dyDescent="0.2">
      <c r="A344">
        <v>1691</v>
      </c>
      <c r="B344">
        <v>956</v>
      </c>
      <c r="C344" t="s">
        <v>1060</v>
      </c>
      <c r="D344" t="s">
        <v>1408</v>
      </c>
      <c r="E344" t="s">
        <v>1062</v>
      </c>
      <c r="F344" s="8" t="s">
        <v>2404</v>
      </c>
      <c r="G344" t="str">
        <f t="shared" si="37"/>
        <v>(1691,</v>
      </c>
      <c r="H344" t="str">
        <f t="shared" si="38"/>
        <v>956,</v>
      </c>
      <c r="I344" t="str">
        <f t="shared" si="39"/>
        <v>'TSLA',</v>
      </c>
      <c r="J344" t="str">
        <f t="shared" si="40"/>
        <v>299.42,</v>
      </c>
      <c r="K344" t="str">
        <f t="shared" si="41"/>
        <v>'SELL',</v>
      </c>
      <c r="L344" t="str">
        <f t="shared" si="42"/>
        <v>'2024-05-07 10:03:00'),</v>
      </c>
      <c r="M344" t="str">
        <f t="shared" si="43"/>
        <v>(1691,956,'TSLA',299.42,'SELL','2024-05-07 10:03:00'),</v>
      </c>
    </row>
    <row r="345" spans="1:13" x14ac:dyDescent="0.2">
      <c r="A345">
        <v>1691</v>
      </c>
      <c r="B345">
        <v>689</v>
      </c>
      <c r="C345" t="s">
        <v>1069</v>
      </c>
      <c r="D345" t="s">
        <v>1409</v>
      </c>
      <c r="E345" t="s">
        <v>1068</v>
      </c>
      <c r="F345" s="8" t="s">
        <v>2405</v>
      </c>
      <c r="G345" t="str">
        <f t="shared" si="37"/>
        <v>(1691,</v>
      </c>
      <c r="H345" t="str">
        <f t="shared" si="38"/>
        <v>689,</v>
      </c>
      <c r="I345" t="str">
        <f t="shared" si="39"/>
        <v>'MSFT',</v>
      </c>
      <c r="J345" t="str">
        <f t="shared" si="40"/>
        <v>723.35,</v>
      </c>
      <c r="K345" t="str">
        <f t="shared" si="41"/>
        <v>'BUY',</v>
      </c>
      <c r="L345" t="str">
        <f t="shared" si="42"/>
        <v>'2024-05-29 15:15:00'),</v>
      </c>
      <c r="M345" t="str">
        <f t="shared" si="43"/>
        <v>(1691,689,'MSFT',723.35,'BUY','2024-05-29 15:15:00'),</v>
      </c>
    </row>
    <row r="346" spans="1:13" x14ac:dyDescent="0.2">
      <c r="A346">
        <v>4168</v>
      </c>
      <c r="B346">
        <v>33</v>
      </c>
      <c r="C346" t="s">
        <v>1060</v>
      </c>
      <c r="D346" t="s">
        <v>1410</v>
      </c>
      <c r="E346" t="s">
        <v>1062</v>
      </c>
      <c r="F346" s="8" t="s">
        <v>2406</v>
      </c>
      <c r="G346" t="str">
        <f t="shared" si="37"/>
        <v>(4168,</v>
      </c>
      <c r="H346" t="str">
        <f t="shared" si="38"/>
        <v>33,</v>
      </c>
      <c r="I346" t="str">
        <f t="shared" si="39"/>
        <v>'TSLA',</v>
      </c>
      <c r="J346" t="str">
        <f t="shared" si="40"/>
        <v>786.36,</v>
      </c>
      <c r="K346" t="str">
        <f t="shared" si="41"/>
        <v>'SELL',</v>
      </c>
      <c r="L346" t="str">
        <f t="shared" si="42"/>
        <v>'2024-01-07 19:48:00'),</v>
      </c>
      <c r="M346" t="str">
        <f t="shared" si="43"/>
        <v>(4168,33,'TSLA',786.36,'SELL','2024-01-07 19:48:00'),</v>
      </c>
    </row>
    <row r="347" spans="1:13" x14ac:dyDescent="0.2">
      <c r="A347">
        <v>5297</v>
      </c>
      <c r="B347">
        <v>13</v>
      </c>
      <c r="C347" t="s">
        <v>1060</v>
      </c>
      <c r="D347" t="s">
        <v>1411</v>
      </c>
      <c r="E347" t="s">
        <v>1062</v>
      </c>
      <c r="F347" s="8" t="s">
        <v>2407</v>
      </c>
      <c r="G347" t="str">
        <f t="shared" si="37"/>
        <v>(5297,</v>
      </c>
      <c r="H347" t="str">
        <f t="shared" si="38"/>
        <v>13,</v>
      </c>
      <c r="I347" t="str">
        <f t="shared" si="39"/>
        <v>'TSLA',</v>
      </c>
      <c r="J347" t="str">
        <f t="shared" si="40"/>
        <v>708.09,</v>
      </c>
      <c r="K347" t="str">
        <f t="shared" si="41"/>
        <v>'SELL',</v>
      </c>
      <c r="L347" t="str">
        <f t="shared" si="42"/>
        <v>'2024-04-24 01:07:00'),</v>
      </c>
      <c r="M347" t="str">
        <f t="shared" si="43"/>
        <v>(5297,13,'TSLA',708.09,'SELL','2024-04-24 01:07:00'),</v>
      </c>
    </row>
    <row r="348" spans="1:13" x14ac:dyDescent="0.2">
      <c r="A348">
        <v>9094</v>
      </c>
      <c r="B348">
        <v>828</v>
      </c>
      <c r="C348" t="s">
        <v>1069</v>
      </c>
      <c r="D348" t="s">
        <v>1412</v>
      </c>
      <c r="E348" t="s">
        <v>1062</v>
      </c>
      <c r="F348" s="8" t="s">
        <v>2408</v>
      </c>
      <c r="G348" t="str">
        <f t="shared" si="37"/>
        <v>(9094,</v>
      </c>
      <c r="H348" t="str">
        <f t="shared" si="38"/>
        <v>828,</v>
      </c>
      <c r="I348" t="str">
        <f t="shared" si="39"/>
        <v>'MSFT',</v>
      </c>
      <c r="J348" t="str">
        <f t="shared" si="40"/>
        <v>545.95,</v>
      </c>
      <c r="K348" t="str">
        <f t="shared" si="41"/>
        <v>'SELL',</v>
      </c>
      <c r="L348" t="str">
        <f t="shared" si="42"/>
        <v>'2024-03-04 16:01:00'),</v>
      </c>
      <c r="M348" t="str">
        <f t="shared" si="43"/>
        <v>(9094,828,'MSFT',545.95,'SELL','2024-03-04 16:01:00'),</v>
      </c>
    </row>
    <row r="349" spans="1:13" x14ac:dyDescent="0.2">
      <c r="A349">
        <v>9952</v>
      </c>
      <c r="B349">
        <v>700</v>
      </c>
      <c r="C349" t="s">
        <v>1066</v>
      </c>
      <c r="D349" t="s">
        <v>1413</v>
      </c>
      <c r="E349" t="s">
        <v>1068</v>
      </c>
      <c r="F349" s="8" t="s">
        <v>2409</v>
      </c>
      <c r="G349" t="str">
        <f t="shared" si="37"/>
        <v>(9952,</v>
      </c>
      <c r="H349" t="str">
        <f t="shared" si="38"/>
        <v>700,</v>
      </c>
      <c r="I349" t="str">
        <f t="shared" si="39"/>
        <v>'AMZN',</v>
      </c>
      <c r="J349" t="str">
        <f t="shared" si="40"/>
        <v>882.65,</v>
      </c>
      <c r="K349" t="str">
        <f t="shared" si="41"/>
        <v>'BUY',</v>
      </c>
      <c r="L349" t="str">
        <f t="shared" si="42"/>
        <v>'2024-04-16 07:21:00'),</v>
      </c>
      <c r="M349" t="str">
        <f t="shared" si="43"/>
        <v>(9952,700,'AMZN',882.65,'BUY','2024-04-16 07:21:00'),</v>
      </c>
    </row>
    <row r="350" spans="1:13" x14ac:dyDescent="0.2">
      <c r="A350">
        <v>4669</v>
      </c>
      <c r="B350">
        <v>934</v>
      </c>
      <c r="C350" t="s">
        <v>1069</v>
      </c>
      <c r="D350" t="s">
        <v>1414</v>
      </c>
      <c r="E350" t="s">
        <v>1068</v>
      </c>
      <c r="F350" s="8" t="s">
        <v>2410</v>
      </c>
      <c r="G350" t="str">
        <f t="shared" si="37"/>
        <v>(4669,</v>
      </c>
      <c r="H350" t="str">
        <f t="shared" si="38"/>
        <v>934,</v>
      </c>
      <c r="I350" t="str">
        <f t="shared" si="39"/>
        <v>'MSFT',</v>
      </c>
      <c r="J350" t="str">
        <f t="shared" si="40"/>
        <v>238.07,</v>
      </c>
      <c r="K350" t="str">
        <f t="shared" si="41"/>
        <v>'BUY',</v>
      </c>
      <c r="L350" t="str">
        <f t="shared" si="42"/>
        <v>'2024-02-27 21:47:00'),</v>
      </c>
      <c r="M350" t="str">
        <f t="shared" si="43"/>
        <v>(4669,934,'MSFT',238.07,'BUY','2024-02-27 21:47:00'),</v>
      </c>
    </row>
    <row r="351" spans="1:13" x14ac:dyDescent="0.2">
      <c r="A351">
        <v>4669</v>
      </c>
      <c r="B351">
        <v>15</v>
      </c>
      <c r="C351" t="s">
        <v>1069</v>
      </c>
      <c r="D351" t="s">
        <v>1415</v>
      </c>
      <c r="E351" t="s">
        <v>1062</v>
      </c>
      <c r="F351" s="8" t="s">
        <v>2411</v>
      </c>
      <c r="G351" t="str">
        <f t="shared" si="37"/>
        <v>(4669,</v>
      </c>
      <c r="H351" t="str">
        <f t="shared" si="38"/>
        <v>15,</v>
      </c>
      <c r="I351" t="str">
        <f t="shared" si="39"/>
        <v>'MSFT',</v>
      </c>
      <c r="J351" t="str">
        <f t="shared" si="40"/>
        <v>857.91,</v>
      </c>
      <c r="K351" t="str">
        <f t="shared" si="41"/>
        <v>'SELL',</v>
      </c>
      <c r="L351" t="str">
        <f t="shared" si="42"/>
        <v>'2024-04-25 18:57:00'),</v>
      </c>
      <c r="M351" t="str">
        <f t="shared" si="43"/>
        <v>(4669,15,'MSFT',857.91,'SELL','2024-04-25 18:57:00'),</v>
      </c>
    </row>
    <row r="352" spans="1:13" x14ac:dyDescent="0.2">
      <c r="A352">
        <v>1691</v>
      </c>
      <c r="B352">
        <v>879</v>
      </c>
      <c r="C352" t="s">
        <v>1069</v>
      </c>
      <c r="D352" t="s">
        <v>1416</v>
      </c>
      <c r="E352" t="s">
        <v>1068</v>
      </c>
      <c r="F352" s="8" t="s">
        <v>2412</v>
      </c>
      <c r="G352" t="str">
        <f t="shared" si="37"/>
        <v>(1691,</v>
      </c>
      <c r="H352" t="str">
        <f t="shared" si="38"/>
        <v>879,</v>
      </c>
      <c r="I352" t="str">
        <f t="shared" si="39"/>
        <v>'MSFT',</v>
      </c>
      <c r="J352" t="str">
        <f t="shared" si="40"/>
        <v>526.25,</v>
      </c>
      <c r="K352" t="str">
        <f t="shared" si="41"/>
        <v>'BUY',</v>
      </c>
      <c r="L352" t="str">
        <f t="shared" si="42"/>
        <v>'2024-01-20 15:44:00'),</v>
      </c>
      <c r="M352" t="str">
        <f t="shared" si="43"/>
        <v>(1691,879,'MSFT',526.25,'BUY','2024-01-20 15:44:00'),</v>
      </c>
    </row>
    <row r="353" spans="1:13" x14ac:dyDescent="0.2">
      <c r="A353">
        <v>7922</v>
      </c>
      <c r="B353">
        <v>23</v>
      </c>
      <c r="C353" t="s">
        <v>1063</v>
      </c>
      <c r="D353" t="s">
        <v>1417</v>
      </c>
      <c r="E353" t="s">
        <v>1062</v>
      </c>
      <c r="F353" s="8" t="s">
        <v>2413</v>
      </c>
      <c r="G353" t="str">
        <f t="shared" si="37"/>
        <v>(7922,</v>
      </c>
      <c r="H353" t="str">
        <f t="shared" si="38"/>
        <v>23,</v>
      </c>
      <c r="I353" t="str">
        <f t="shared" si="39"/>
        <v>'META',</v>
      </c>
      <c r="J353" t="str">
        <f t="shared" si="40"/>
        <v>451.77,</v>
      </c>
      <c r="K353" t="str">
        <f t="shared" si="41"/>
        <v>'SELL',</v>
      </c>
      <c r="L353" t="str">
        <f t="shared" si="42"/>
        <v>'2024-01-02 15:25:00'),</v>
      </c>
      <c r="M353" t="str">
        <f t="shared" si="43"/>
        <v>(7922,23,'META',451.77,'SELL','2024-01-02 15:25:00'),</v>
      </c>
    </row>
    <row r="354" spans="1:13" x14ac:dyDescent="0.2">
      <c r="A354">
        <v>7938</v>
      </c>
      <c r="B354">
        <v>138</v>
      </c>
      <c r="C354" t="s">
        <v>1066</v>
      </c>
      <c r="D354" t="s">
        <v>1418</v>
      </c>
      <c r="E354" t="s">
        <v>1062</v>
      </c>
      <c r="F354" s="8" t="s">
        <v>2414</v>
      </c>
      <c r="G354" t="str">
        <f t="shared" si="37"/>
        <v>(7938,</v>
      </c>
      <c r="H354" t="str">
        <f t="shared" si="38"/>
        <v>138,</v>
      </c>
      <c r="I354" t="str">
        <f t="shared" si="39"/>
        <v>'AMZN',</v>
      </c>
      <c r="J354" t="str">
        <f t="shared" si="40"/>
        <v>584.8,</v>
      </c>
      <c r="K354" t="str">
        <f t="shared" si="41"/>
        <v>'SELL',</v>
      </c>
      <c r="L354" t="str">
        <f t="shared" si="42"/>
        <v>'2024-02-26 19:31:00'),</v>
      </c>
      <c r="M354" t="str">
        <f t="shared" si="43"/>
        <v>(7938,138,'AMZN',584.8,'SELL','2024-02-26 19:31:00'),</v>
      </c>
    </row>
    <row r="355" spans="1:13" x14ac:dyDescent="0.2">
      <c r="A355">
        <v>7922</v>
      </c>
      <c r="B355">
        <v>75</v>
      </c>
      <c r="C355" t="s">
        <v>1069</v>
      </c>
      <c r="D355" t="s">
        <v>1419</v>
      </c>
      <c r="E355" t="s">
        <v>1062</v>
      </c>
      <c r="F355" s="8" t="s">
        <v>2415</v>
      </c>
      <c r="G355" t="str">
        <f t="shared" si="37"/>
        <v>(7922,</v>
      </c>
      <c r="H355" t="str">
        <f t="shared" si="38"/>
        <v>75,</v>
      </c>
      <c r="I355" t="str">
        <f t="shared" si="39"/>
        <v>'MSFT',</v>
      </c>
      <c r="J355" t="str">
        <f t="shared" si="40"/>
        <v>764.87,</v>
      </c>
      <c r="K355" t="str">
        <f t="shared" si="41"/>
        <v>'SELL',</v>
      </c>
      <c r="L355" t="str">
        <f t="shared" si="42"/>
        <v>'2024-02-18 08:18:00'),</v>
      </c>
      <c r="M355" t="str">
        <f t="shared" si="43"/>
        <v>(7922,75,'MSFT',764.87,'SELL','2024-02-18 08:18:00'),</v>
      </c>
    </row>
    <row r="356" spans="1:13" x14ac:dyDescent="0.2">
      <c r="A356">
        <v>4168</v>
      </c>
      <c r="B356">
        <v>379</v>
      </c>
      <c r="C356" t="s">
        <v>1066</v>
      </c>
      <c r="D356" t="s">
        <v>1420</v>
      </c>
      <c r="E356" t="s">
        <v>1068</v>
      </c>
      <c r="F356" s="8" t="s">
        <v>2416</v>
      </c>
      <c r="G356" t="str">
        <f t="shared" si="37"/>
        <v>(4168,</v>
      </c>
      <c r="H356" t="str">
        <f t="shared" si="38"/>
        <v>379,</v>
      </c>
      <c r="I356" t="str">
        <f t="shared" si="39"/>
        <v>'AMZN',</v>
      </c>
      <c r="J356" t="str">
        <f t="shared" si="40"/>
        <v>885.88,</v>
      </c>
      <c r="K356" t="str">
        <f t="shared" si="41"/>
        <v>'BUY',</v>
      </c>
      <c r="L356" t="str">
        <f t="shared" si="42"/>
        <v>'2024-01-19 02:26:00'),</v>
      </c>
      <c r="M356" t="str">
        <f t="shared" si="43"/>
        <v>(4168,379,'AMZN',885.88,'BUY','2024-01-19 02:26:00'),</v>
      </c>
    </row>
    <row r="357" spans="1:13" x14ac:dyDescent="0.2">
      <c r="A357">
        <v>1691</v>
      </c>
      <c r="B357">
        <v>311</v>
      </c>
      <c r="C357" t="s">
        <v>1063</v>
      </c>
      <c r="D357" t="s">
        <v>1421</v>
      </c>
      <c r="E357" t="s">
        <v>1062</v>
      </c>
      <c r="F357" s="8" t="s">
        <v>2417</v>
      </c>
      <c r="G357" t="str">
        <f t="shared" si="37"/>
        <v>(1691,</v>
      </c>
      <c r="H357" t="str">
        <f t="shared" si="38"/>
        <v>311,</v>
      </c>
      <c r="I357" t="str">
        <f t="shared" si="39"/>
        <v>'META',</v>
      </c>
      <c r="J357" t="str">
        <f t="shared" si="40"/>
        <v>931.25,</v>
      </c>
      <c r="K357" t="str">
        <f t="shared" si="41"/>
        <v>'SELL',</v>
      </c>
      <c r="L357" t="str">
        <f t="shared" si="42"/>
        <v>'2024-01-16 17:04:00'),</v>
      </c>
      <c r="M357" t="str">
        <f t="shared" si="43"/>
        <v>(1691,311,'META',931.25,'SELL','2024-01-16 17:04:00'),</v>
      </c>
    </row>
    <row r="358" spans="1:13" x14ac:dyDescent="0.2">
      <c r="A358">
        <v>5751</v>
      </c>
      <c r="B358">
        <v>631</v>
      </c>
      <c r="C358" t="s">
        <v>1060</v>
      </c>
      <c r="D358" t="s">
        <v>1422</v>
      </c>
      <c r="E358" t="s">
        <v>1062</v>
      </c>
      <c r="F358" s="8" t="s">
        <v>2418</v>
      </c>
      <c r="G358" t="str">
        <f t="shared" si="37"/>
        <v>(5751,</v>
      </c>
      <c r="H358" t="str">
        <f t="shared" si="38"/>
        <v>631,</v>
      </c>
      <c r="I358" t="str">
        <f t="shared" si="39"/>
        <v>'TSLA',</v>
      </c>
      <c r="J358" t="str">
        <f t="shared" si="40"/>
        <v>565.85,</v>
      </c>
      <c r="K358" t="str">
        <f t="shared" si="41"/>
        <v>'SELL',</v>
      </c>
      <c r="L358" t="str">
        <f t="shared" si="42"/>
        <v>'2024-04-19 21:54:00'),</v>
      </c>
      <c r="M358" t="str">
        <f t="shared" si="43"/>
        <v>(5751,631,'TSLA',565.85,'SELL','2024-04-19 21:54:00'),</v>
      </c>
    </row>
    <row r="359" spans="1:13" x14ac:dyDescent="0.2">
      <c r="A359">
        <v>2941</v>
      </c>
      <c r="B359">
        <v>112</v>
      </c>
      <c r="C359" t="s">
        <v>1060</v>
      </c>
      <c r="D359" t="s">
        <v>1423</v>
      </c>
      <c r="E359" t="s">
        <v>1062</v>
      </c>
      <c r="F359" s="8" t="s">
        <v>2419</v>
      </c>
      <c r="G359" t="str">
        <f t="shared" si="37"/>
        <v>(2941,</v>
      </c>
      <c r="H359" t="str">
        <f t="shared" si="38"/>
        <v>112,</v>
      </c>
      <c r="I359" t="str">
        <f t="shared" si="39"/>
        <v>'TSLA',</v>
      </c>
      <c r="J359" t="str">
        <f t="shared" si="40"/>
        <v>746.5,</v>
      </c>
      <c r="K359" t="str">
        <f t="shared" si="41"/>
        <v>'SELL',</v>
      </c>
      <c r="L359" t="str">
        <f t="shared" si="42"/>
        <v>'2024-03-10 23:04:00'),</v>
      </c>
      <c r="M359" t="str">
        <f t="shared" si="43"/>
        <v>(2941,112,'TSLA',746.5,'SELL','2024-03-10 23:04:00'),</v>
      </c>
    </row>
    <row r="360" spans="1:13" x14ac:dyDescent="0.2">
      <c r="A360">
        <v>9952</v>
      </c>
      <c r="B360">
        <v>496</v>
      </c>
      <c r="C360" t="s">
        <v>1060</v>
      </c>
      <c r="D360" t="s">
        <v>1424</v>
      </c>
      <c r="E360" t="s">
        <v>1068</v>
      </c>
      <c r="F360" s="8" t="s">
        <v>2420</v>
      </c>
      <c r="G360" t="str">
        <f t="shared" si="37"/>
        <v>(9952,</v>
      </c>
      <c r="H360" t="str">
        <f t="shared" si="38"/>
        <v>496,</v>
      </c>
      <c r="I360" t="str">
        <f t="shared" si="39"/>
        <v>'TSLA',</v>
      </c>
      <c r="J360" t="str">
        <f t="shared" si="40"/>
        <v>619.57,</v>
      </c>
      <c r="K360" t="str">
        <f t="shared" si="41"/>
        <v>'BUY',</v>
      </c>
      <c r="L360" t="str">
        <f t="shared" si="42"/>
        <v>'2024-05-17 02:59:00'),</v>
      </c>
      <c r="M360" t="str">
        <f t="shared" si="43"/>
        <v>(9952,496,'TSLA',619.57,'BUY','2024-05-17 02:59:00'),</v>
      </c>
    </row>
    <row r="361" spans="1:13" x14ac:dyDescent="0.2">
      <c r="A361">
        <v>2941</v>
      </c>
      <c r="B361">
        <v>186</v>
      </c>
      <c r="C361" t="s">
        <v>1066</v>
      </c>
      <c r="D361" t="s">
        <v>1425</v>
      </c>
      <c r="E361" t="s">
        <v>1062</v>
      </c>
      <c r="F361" s="8" t="s">
        <v>2421</v>
      </c>
      <c r="G361" t="str">
        <f t="shared" si="37"/>
        <v>(2941,</v>
      </c>
      <c r="H361" t="str">
        <f t="shared" si="38"/>
        <v>186,</v>
      </c>
      <c r="I361" t="str">
        <f t="shared" si="39"/>
        <v>'AMZN',</v>
      </c>
      <c r="J361" t="str">
        <f t="shared" si="40"/>
        <v>115.5,</v>
      </c>
      <c r="K361" t="str">
        <f t="shared" si="41"/>
        <v>'SELL',</v>
      </c>
      <c r="L361" t="str">
        <f t="shared" si="42"/>
        <v>'2024-01-11 19:54:00'),</v>
      </c>
      <c r="M361" t="str">
        <f t="shared" si="43"/>
        <v>(2941,186,'AMZN',115.5,'SELL','2024-01-11 19:54:00'),</v>
      </c>
    </row>
    <row r="362" spans="1:13" x14ac:dyDescent="0.2">
      <c r="A362">
        <v>7938</v>
      </c>
      <c r="B362">
        <v>406</v>
      </c>
      <c r="C362" t="s">
        <v>1069</v>
      </c>
      <c r="D362" t="s">
        <v>1426</v>
      </c>
      <c r="E362" t="s">
        <v>1062</v>
      </c>
      <c r="F362" s="8" t="s">
        <v>2422</v>
      </c>
      <c r="G362" t="str">
        <f t="shared" si="37"/>
        <v>(7938,</v>
      </c>
      <c r="H362" t="str">
        <f t="shared" si="38"/>
        <v>406,</v>
      </c>
      <c r="I362" t="str">
        <f t="shared" si="39"/>
        <v>'MSFT',</v>
      </c>
      <c r="J362" t="str">
        <f t="shared" si="40"/>
        <v>126.32,</v>
      </c>
      <c r="K362" t="str">
        <f t="shared" si="41"/>
        <v>'SELL',</v>
      </c>
      <c r="L362" t="str">
        <f t="shared" si="42"/>
        <v>'2024-02-03 00:48:00'),</v>
      </c>
      <c r="M362" t="str">
        <f t="shared" si="43"/>
        <v>(7938,406,'MSFT',126.32,'SELL','2024-02-03 00:48:00'),</v>
      </c>
    </row>
    <row r="363" spans="1:13" x14ac:dyDescent="0.2">
      <c r="A363">
        <v>4710</v>
      </c>
      <c r="B363">
        <v>1000</v>
      </c>
      <c r="C363" t="s">
        <v>1066</v>
      </c>
      <c r="D363" t="s">
        <v>1427</v>
      </c>
      <c r="E363" t="s">
        <v>1062</v>
      </c>
      <c r="F363" s="8" t="s">
        <v>2423</v>
      </c>
      <c r="G363" t="str">
        <f t="shared" si="37"/>
        <v>(4710,</v>
      </c>
      <c r="H363" t="str">
        <f t="shared" si="38"/>
        <v>1000,</v>
      </c>
      <c r="I363" t="str">
        <f t="shared" si="39"/>
        <v>'AMZN',</v>
      </c>
      <c r="J363" t="str">
        <f t="shared" si="40"/>
        <v>211.31,</v>
      </c>
      <c r="K363" t="str">
        <f t="shared" si="41"/>
        <v>'SELL',</v>
      </c>
      <c r="L363" t="str">
        <f t="shared" si="42"/>
        <v>'2024-02-16 15:37:00'),</v>
      </c>
      <c r="M363" t="str">
        <f t="shared" si="43"/>
        <v>(4710,1000,'AMZN',211.31,'SELL','2024-02-16 15:37:00'),</v>
      </c>
    </row>
    <row r="364" spans="1:13" x14ac:dyDescent="0.2">
      <c r="A364">
        <v>7938</v>
      </c>
      <c r="B364">
        <v>715</v>
      </c>
      <c r="C364" t="s">
        <v>1066</v>
      </c>
      <c r="D364" t="s">
        <v>1428</v>
      </c>
      <c r="E364" t="s">
        <v>1062</v>
      </c>
      <c r="F364" s="8" t="s">
        <v>2424</v>
      </c>
      <c r="G364" t="str">
        <f t="shared" si="37"/>
        <v>(7938,</v>
      </c>
      <c r="H364" t="str">
        <f t="shared" si="38"/>
        <v>715,</v>
      </c>
      <c r="I364" t="str">
        <f t="shared" si="39"/>
        <v>'AMZN',</v>
      </c>
      <c r="J364" t="str">
        <f t="shared" si="40"/>
        <v>645.62,</v>
      </c>
      <c r="K364" t="str">
        <f t="shared" si="41"/>
        <v>'SELL',</v>
      </c>
      <c r="L364" t="str">
        <f t="shared" si="42"/>
        <v>'2024-01-12 02:11:00'),</v>
      </c>
      <c r="M364" t="str">
        <f t="shared" si="43"/>
        <v>(7938,715,'AMZN',645.62,'SELL','2024-01-12 02:11:00'),</v>
      </c>
    </row>
    <row r="365" spans="1:13" x14ac:dyDescent="0.2">
      <c r="A365">
        <v>5258</v>
      </c>
      <c r="B365">
        <v>219</v>
      </c>
      <c r="C365" t="s">
        <v>1066</v>
      </c>
      <c r="D365" t="s">
        <v>1429</v>
      </c>
      <c r="E365" t="s">
        <v>1068</v>
      </c>
      <c r="F365" s="8" t="s">
        <v>2425</v>
      </c>
      <c r="G365" t="str">
        <f t="shared" si="37"/>
        <v>(5258,</v>
      </c>
      <c r="H365" t="str">
        <f t="shared" si="38"/>
        <v>219,</v>
      </c>
      <c r="I365" t="str">
        <f t="shared" si="39"/>
        <v>'AMZN',</v>
      </c>
      <c r="J365" t="str">
        <f t="shared" si="40"/>
        <v>208.04,</v>
      </c>
      <c r="K365" t="str">
        <f t="shared" si="41"/>
        <v>'BUY',</v>
      </c>
      <c r="L365" t="str">
        <f t="shared" si="42"/>
        <v>'2024-02-21 15:03:00'),</v>
      </c>
      <c r="M365" t="str">
        <f t="shared" si="43"/>
        <v>(5258,219,'AMZN',208.04,'BUY','2024-02-21 15:03:00'),</v>
      </c>
    </row>
    <row r="366" spans="1:13" x14ac:dyDescent="0.2">
      <c r="A366">
        <v>9952</v>
      </c>
      <c r="B366">
        <v>514</v>
      </c>
      <c r="C366" t="s">
        <v>1066</v>
      </c>
      <c r="D366" t="s">
        <v>1430</v>
      </c>
      <c r="E366" t="s">
        <v>1068</v>
      </c>
      <c r="F366" s="8" t="s">
        <v>2426</v>
      </c>
      <c r="G366" t="str">
        <f t="shared" si="37"/>
        <v>(9952,</v>
      </c>
      <c r="H366" t="str">
        <f t="shared" si="38"/>
        <v>514,</v>
      </c>
      <c r="I366" t="str">
        <f t="shared" si="39"/>
        <v>'AMZN',</v>
      </c>
      <c r="J366" t="str">
        <f t="shared" si="40"/>
        <v>783.78,</v>
      </c>
      <c r="K366" t="str">
        <f t="shared" si="41"/>
        <v>'BUY',</v>
      </c>
      <c r="L366" t="str">
        <f t="shared" si="42"/>
        <v>'2024-03-20 06:14:00'),</v>
      </c>
      <c r="M366" t="str">
        <f t="shared" si="43"/>
        <v>(9952,514,'AMZN',783.78,'BUY','2024-03-20 06:14:00'),</v>
      </c>
    </row>
    <row r="367" spans="1:13" x14ac:dyDescent="0.2">
      <c r="A367">
        <v>2941</v>
      </c>
      <c r="B367">
        <v>569</v>
      </c>
      <c r="C367" t="s">
        <v>1069</v>
      </c>
      <c r="D367" t="s">
        <v>1431</v>
      </c>
      <c r="E367" t="s">
        <v>1062</v>
      </c>
      <c r="F367" s="8" t="s">
        <v>2427</v>
      </c>
      <c r="G367" t="str">
        <f t="shared" si="37"/>
        <v>(2941,</v>
      </c>
      <c r="H367" t="str">
        <f t="shared" si="38"/>
        <v>569,</v>
      </c>
      <c r="I367" t="str">
        <f t="shared" si="39"/>
        <v>'MSFT',</v>
      </c>
      <c r="J367" t="str">
        <f t="shared" si="40"/>
        <v>404.01,</v>
      </c>
      <c r="K367" t="str">
        <f t="shared" si="41"/>
        <v>'SELL',</v>
      </c>
      <c r="L367" t="str">
        <f t="shared" si="42"/>
        <v>'2024-03-23 10:17:00'),</v>
      </c>
      <c r="M367" t="str">
        <f t="shared" si="43"/>
        <v>(2941,569,'MSFT',404.01,'SELL','2024-03-23 10:17:00'),</v>
      </c>
    </row>
    <row r="368" spans="1:13" x14ac:dyDescent="0.2">
      <c r="A368">
        <v>1691</v>
      </c>
      <c r="B368">
        <v>440</v>
      </c>
      <c r="C368" t="s">
        <v>1060</v>
      </c>
      <c r="D368" t="s">
        <v>1432</v>
      </c>
      <c r="E368" t="s">
        <v>1062</v>
      </c>
      <c r="F368" s="8" t="s">
        <v>2428</v>
      </c>
      <c r="G368" t="str">
        <f t="shared" si="37"/>
        <v>(1691,</v>
      </c>
      <c r="H368" t="str">
        <f t="shared" si="38"/>
        <v>440,</v>
      </c>
      <c r="I368" t="str">
        <f t="shared" si="39"/>
        <v>'TSLA',</v>
      </c>
      <c r="J368" t="str">
        <f t="shared" si="40"/>
        <v>253.25,</v>
      </c>
      <c r="K368" t="str">
        <f t="shared" si="41"/>
        <v>'SELL',</v>
      </c>
      <c r="L368" t="str">
        <f t="shared" si="42"/>
        <v>'2024-04-19 21:57:00'),</v>
      </c>
      <c r="M368" t="str">
        <f t="shared" si="43"/>
        <v>(1691,440,'TSLA',253.25,'SELL','2024-04-19 21:57:00'),</v>
      </c>
    </row>
    <row r="369" spans="1:13" x14ac:dyDescent="0.2">
      <c r="A369">
        <v>4710</v>
      </c>
      <c r="B369">
        <v>957</v>
      </c>
      <c r="C369" t="s">
        <v>1066</v>
      </c>
      <c r="D369" t="s">
        <v>1433</v>
      </c>
      <c r="E369" t="s">
        <v>1068</v>
      </c>
      <c r="F369" s="8" t="s">
        <v>2429</v>
      </c>
      <c r="G369" t="str">
        <f t="shared" si="37"/>
        <v>(4710,</v>
      </c>
      <c r="H369" t="str">
        <f t="shared" si="38"/>
        <v>957,</v>
      </c>
      <c r="I369" t="str">
        <f t="shared" si="39"/>
        <v>'AMZN',</v>
      </c>
      <c r="J369" t="str">
        <f t="shared" si="40"/>
        <v>830.37,</v>
      </c>
      <c r="K369" t="str">
        <f t="shared" si="41"/>
        <v>'BUY',</v>
      </c>
      <c r="L369" t="str">
        <f t="shared" si="42"/>
        <v>'2024-01-31 10:54:00'),</v>
      </c>
      <c r="M369" t="str">
        <f t="shared" si="43"/>
        <v>(4710,957,'AMZN',830.37,'BUY','2024-01-31 10:54:00'),</v>
      </c>
    </row>
    <row r="370" spans="1:13" x14ac:dyDescent="0.2">
      <c r="A370">
        <v>4710</v>
      </c>
      <c r="B370">
        <v>62</v>
      </c>
      <c r="C370" t="s">
        <v>1060</v>
      </c>
      <c r="D370" t="s">
        <v>1434</v>
      </c>
      <c r="E370" t="s">
        <v>1068</v>
      </c>
      <c r="F370" s="8" t="s">
        <v>2430</v>
      </c>
      <c r="G370" t="str">
        <f t="shared" si="37"/>
        <v>(4710,</v>
      </c>
      <c r="H370" t="str">
        <f t="shared" si="38"/>
        <v>62,</v>
      </c>
      <c r="I370" t="str">
        <f t="shared" si="39"/>
        <v>'TSLA',</v>
      </c>
      <c r="J370" t="str">
        <f t="shared" si="40"/>
        <v>345.44,</v>
      </c>
      <c r="K370" t="str">
        <f t="shared" si="41"/>
        <v>'BUY',</v>
      </c>
      <c r="L370" t="str">
        <f t="shared" si="42"/>
        <v>'2024-04-20 16:18:00'),</v>
      </c>
      <c r="M370" t="str">
        <f t="shared" si="43"/>
        <v>(4710,62,'TSLA',345.44,'BUY','2024-04-20 16:18:00'),</v>
      </c>
    </row>
    <row r="371" spans="1:13" x14ac:dyDescent="0.2">
      <c r="A371">
        <v>5705</v>
      </c>
      <c r="B371">
        <v>559</v>
      </c>
      <c r="C371" t="s">
        <v>1069</v>
      </c>
      <c r="D371" t="s">
        <v>1435</v>
      </c>
      <c r="E371" t="s">
        <v>1068</v>
      </c>
      <c r="F371" s="8" t="s">
        <v>2431</v>
      </c>
      <c r="G371" t="str">
        <f t="shared" si="37"/>
        <v>(5705,</v>
      </c>
      <c r="H371" t="str">
        <f t="shared" si="38"/>
        <v>559,</v>
      </c>
      <c r="I371" t="str">
        <f t="shared" si="39"/>
        <v>'MSFT',</v>
      </c>
      <c r="J371" t="str">
        <f t="shared" si="40"/>
        <v>571.34,</v>
      </c>
      <c r="K371" t="str">
        <f t="shared" si="41"/>
        <v>'BUY',</v>
      </c>
      <c r="L371" t="str">
        <f t="shared" si="42"/>
        <v>'2024-02-22 06:28:00'),</v>
      </c>
      <c r="M371" t="str">
        <f t="shared" si="43"/>
        <v>(5705,559,'MSFT',571.34,'BUY','2024-02-22 06:28:00'),</v>
      </c>
    </row>
    <row r="372" spans="1:13" x14ac:dyDescent="0.2">
      <c r="A372">
        <v>1691</v>
      </c>
      <c r="B372">
        <v>273</v>
      </c>
      <c r="C372" t="s">
        <v>1063</v>
      </c>
      <c r="D372" t="s">
        <v>1436</v>
      </c>
      <c r="E372" t="s">
        <v>1068</v>
      </c>
      <c r="F372" s="8" t="s">
        <v>2432</v>
      </c>
      <c r="G372" t="str">
        <f t="shared" si="37"/>
        <v>(1691,</v>
      </c>
      <c r="H372" t="str">
        <f t="shared" si="38"/>
        <v>273,</v>
      </c>
      <c r="I372" t="str">
        <f t="shared" si="39"/>
        <v>'META',</v>
      </c>
      <c r="J372" t="str">
        <f t="shared" si="40"/>
        <v>489.92,</v>
      </c>
      <c r="K372" t="str">
        <f t="shared" si="41"/>
        <v>'BUY',</v>
      </c>
      <c r="L372" t="str">
        <f t="shared" si="42"/>
        <v>'2024-04-20 21:01:00'),</v>
      </c>
      <c r="M372" t="str">
        <f t="shared" si="43"/>
        <v>(1691,273,'META',489.92,'BUY','2024-04-20 21:01:00'),</v>
      </c>
    </row>
    <row r="373" spans="1:13" x14ac:dyDescent="0.2">
      <c r="A373">
        <v>7922</v>
      </c>
      <c r="B373">
        <v>929</v>
      </c>
      <c r="C373" t="s">
        <v>1063</v>
      </c>
      <c r="D373" t="s">
        <v>1437</v>
      </c>
      <c r="E373" t="s">
        <v>1068</v>
      </c>
      <c r="F373" s="8" t="s">
        <v>2433</v>
      </c>
      <c r="G373" t="str">
        <f t="shared" si="37"/>
        <v>(7922,</v>
      </c>
      <c r="H373" t="str">
        <f t="shared" si="38"/>
        <v>929,</v>
      </c>
      <c r="I373" t="str">
        <f t="shared" si="39"/>
        <v>'META',</v>
      </c>
      <c r="J373" t="str">
        <f t="shared" si="40"/>
        <v>977.36,</v>
      </c>
      <c r="K373" t="str">
        <f t="shared" si="41"/>
        <v>'BUY',</v>
      </c>
      <c r="L373" t="str">
        <f t="shared" si="42"/>
        <v>'2024-03-24 22:39:00'),</v>
      </c>
      <c r="M373" t="str">
        <f t="shared" si="43"/>
        <v>(7922,929,'META',977.36,'BUY','2024-03-24 22:39:00'),</v>
      </c>
    </row>
    <row r="374" spans="1:13" x14ac:dyDescent="0.2">
      <c r="A374">
        <v>5751</v>
      </c>
      <c r="B374">
        <v>166</v>
      </c>
      <c r="C374" t="s">
        <v>1063</v>
      </c>
      <c r="D374" t="s">
        <v>1438</v>
      </c>
      <c r="E374" t="s">
        <v>1062</v>
      </c>
      <c r="F374" s="8" t="s">
        <v>2434</v>
      </c>
      <c r="G374" t="str">
        <f t="shared" si="37"/>
        <v>(5751,</v>
      </c>
      <c r="H374" t="str">
        <f t="shared" si="38"/>
        <v>166,</v>
      </c>
      <c r="I374" t="str">
        <f t="shared" si="39"/>
        <v>'META',</v>
      </c>
      <c r="J374" t="str">
        <f t="shared" si="40"/>
        <v>932.22,</v>
      </c>
      <c r="K374" t="str">
        <f t="shared" si="41"/>
        <v>'SELL',</v>
      </c>
      <c r="L374" t="str">
        <f t="shared" si="42"/>
        <v>'2024-02-23 11:46:00'),</v>
      </c>
      <c r="M374" t="str">
        <f t="shared" si="43"/>
        <v>(5751,166,'META',932.22,'SELL','2024-02-23 11:46:00'),</v>
      </c>
    </row>
    <row r="375" spans="1:13" x14ac:dyDescent="0.2">
      <c r="A375">
        <v>5258</v>
      </c>
      <c r="B375">
        <v>233</v>
      </c>
      <c r="C375" t="s">
        <v>1069</v>
      </c>
      <c r="D375" t="s">
        <v>1439</v>
      </c>
      <c r="E375" t="s">
        <v>1068</v>
      </c>
      <c r="F375" s="8" t="s">
        <v>2435</v>
      </c>
      <c r="G375" t="str">
        <f t="shared" si="37"/>
        <v>(5258,</v>
      </c>
      <c r="H375" t="str">
        <f t="shared" si="38"/>
        <v>233,</v>
      </c>
      <c r="I375" t="str">
        <f t="shared" si="39"/>
        <v>'MSFT',</v>
      </c>
      <c r="J375" t="str">
        <f t="shared" si="40"/>
        <v>382.31,</v>
      </c>
      <c r="K375" t="str">
        <f t="shared" si="41"/>
        <v>'BUY',</v>
      </c>
      <c r="L375" t="str">
        <f t="shared" si="42"/>
        <v>'2024-04-13 07:34:00'),</v>
      </c>
      <c r="M375" t="str">
        <f t="shared" si="43"/>
        <v>(5258,233,'MSFT',382.31,'BUY','2024-04-13 07:34:00'),</v>
      </c>
    </row>
    <row r="376" spans="1:13" x14ac:dyDescent="0.2">
      <c r="A376">
        <v>9094</v>
      </c>
      <c r="B376">
        <v>56</v>
      </c>
      <c r="C376" t="s">
        <v>1066</v>
      </c>
      <c r="D376" t="s">
        <v>1440</v>
      </c>
      <c r="E376" t="s">
        <v>1062</v>
      </c>
      <c r="F376" s="8" t="s">
        <v>2436</v>
      </c>
      <c r="G376" t="str">
        <f t="shared" si="37"/>
        <v>(9094,</v>
      </c>
      <c r="H376" t="str">
        <f t="shared" si="38"/>
        <v>56,</v>
      </c>
      <c r="I376" t="str">
        <f t="shared" si="39"/>
        <v>'AMZN',</v>
      </c>
      <c r="J376" t="str">
        <f t="shared" si="40"/>
        <v>409.08,</v>
      </c>
      <c r="K376" t="str">
        <f t="shared" si="41"/>
        <v>'SELL',</v>
      </c>
      <c r="L376" t="str">
        <f t="shared" si="42"/>
        <v>'2024-01-16 22:31:00'),</v>
      </c>
      <c r="M376" t="str">
        <f t="shared" si="43"/>
        <v>(9094,56,'AMZN',409.08,'SELL','2024-01-16 22:31:00'),</v>
      </c>
    </row>
    <row r="377" spans="1:13" x14ac:dyDescent="0.2">
      <c r="A377">
        <v>6298</v>
      </c>
      <c r="B377">
        <v>759</v>
      </c>
      <c r="C377" t="s">
        <v>1069</v>
      </c>
      <c r="D377" t="s">
        <v>1441</v>
      </c>
      <c r="E377" t="s">
        <v>1068</v>
      </c>
      <c r="F377" s="8" t="s">
        <v>2437</v>
      </c>
      <c r="G377" t="str">
        <f t="shared" si="37"/>
        <v>(6298,</v>
      </c>
      <c r="H377" t="str">
        <f t="shared" si="38"/>
        <v>759,</v>
      </c>
      <c r="I377" t="str">
        <f t="shared" si="39"/>
        <v>'MSFT',</v>
      </c>
      <c r="J377" t="str">
        <f t="shared" si="40"/>
        <v>551.26,</v>
      </c>
      <c r="K377" t="str">
        <f t="shared" si="41"/>
        <v>'BUY',</v>
      </c>
      <c r="L377" t="str">
        <f t="shared" si="42"/>
        <v>'2024-01-16 20:35:00'),</v>
      </c>
      <c r="M377" t="str">
        <f t="shared" si="43"/>
        <v>(6298,759,'MSFT',551.26,'BUY','2024-01-16 20:35:00'),</v>
      </c>
    </row>
    <row r="378" spans="1:13" x14ac:dyDescent="0.2">
      <c r="A378">
        <v>5258</v>
      </c>
      <c r="B378">
        <v>210</v>
      </c>
      <c r="C378" t="s">
        <v>1069</v>
      </c>
      <c r="D378" t="s">
        <v>1442</v>
      </c>
      <c r="E378" t="s">
        <v>1062</v>
      </c>
      <c r="F378" s="8" t="s">
        <v>2438</v>
      </c>
      <c r="G378" t="str">
        <f t="shared" si="37"/>
        <v>(5258,</v>
      </c>
      <c r="H378" t="str">
        <f t="shared" si="38"/>
        <v>210,</v>
      </c>
      <c r="I378" t="str">
        <f t="shared" si="39"/>
        <v>'MSFT',</v>
      </c>
      <c r="J378" t="str">
        <f t="shared" si="40"/>
        <v>807.37,</v>
      </c>
      <c r="K378" t="str">
        <f t="shared" si="41"/>
        <v>'SELL',</v>
      </c>
      <c r="L378" t="str">
        <f t="shared" si="42"/>
        <v>'2024-04-05 08:53:00'),</v>
      </c>
      <c r="M378" t="str">
        <f t="shared" si="43"/>
        <v>(5258,210,'MSFT',807.37,'SELL','2024-04-05 08:53:00'),</v>
      </c>
    </row>
    <row r="379" spans="1:13" x14ac:dyDescent="0.2">
      <c r="A379">
        <v>5297</v>
      </c>
      <c r="B379">
        <v>433</v>
      </c>
      <c r="C379" t="s">
        <v>1069</v>
      </c>
      <c r="D379" t="s">
        <v>1443</v>
      </c>
      <c r="E379" t="s">
        <v>1068</v>
      </c>
      <c r="F379" s="8" t="s">
        <v>2439</v>
      </c>
      <c r="G379" t="str">
        <f t="shared" si="37"/>
        <v>(5297,</v>
      </c>
      <c r="H379" t="str">
        <f t="shared" si="38"/>
        <v>433,</v>
      </c>
      <c r="I379" t="str">
        <f t="shared" si="39"/>
        <v>'MSFT',</v>
      </c>
      <c r="J379" t="str">
        <f t="shared" si="40"/>
        <v>426.6,</v>
      </c>
      <c r="K379" t="str">
        <f t="shared" si="41"/>
        <v>'BUY',</v>
      </c>
      <c r="L379" t="str">
        <f t="shared" si="42"/>
        <v>'2024-05-21 09:50:00'),</v>
      </c>
      <c r="M379" t="str">
        <f t="shared" si="43"/>
        <v>(5297,433,'MSFT',426.6,'BUY','2024-05-21 09:50:00'),</v>
      </c>
    </row>
    <row r="380" spans="1:13" x14ac:dyDescent="0.2">
      <c r="A380">
        <v>4168</v>
      </c>
      <c r="B380">
        <v>491</v>
      </c>
      <c r="C380" t="s">
        <v>1060</v>
      </c>
      <c r="D380" t="s">
        <v>1444</v>
      </c>
      <c r="E380" t="s">
        <v>1062</v>
      </c>
      <c r="F380" s="8" t="s">
        <v>2440</v>
      </c>
      <c r="G380" t="str">
        <f t="shared" si="37"/>
        <v>(4168,</v>
      </c>
      <c r="H380" t="str">
        <f t="shared" si="38"/>
        <v>491,</v>
      </c>
      <c r="I380" t="str">
        <f t="shared" si="39"/>
        <v>'TSLA',</v>
      </c>
      <c r="J380" t="str">
        <f t="shared" si="40"/>
        <v>738.5,</v>
      </c>
      <c r="K380" t="str">
        <f t="shared" si="41"/>
        <v>'SELL',</v>
      </c>
      <c r="L380" t="str">
        <f t="shared" si="42"/>
        <v>'2024-03-15 03:59:00'),</v>
      </c>
      <c r="M380" t="str">
        <f t="shared" si="43"/>
        <v>(4168,491,'TSLA',738.5,'SELL','2024-03-15 03:59:00'),</v>
      </c>
    </row>
    <row r="381" spans="1:13" x14ac:dyDescent="0.2">
      <c r="A381">
        <v>7938</v>
      </c>
      <c r="B381">
        <v>387</v>
      </c>
      <c r="C381" t="s">
        <v>1069</v>
      </c>
      <c r="D381" t="s">
        <v>1445</v>
      </c>
      <c r="E381" t="s">
        <v>1062</v>
      </c>
      <c r="F381" s="8" t="s">
        <v>2441</v>
      </c>
      <c r="G381" t="str">
        <f t="shared" si="37"/>
        <v>(7938,</v>
      </c>
      <c r="H381" t="str">
        <f t="shared" si="38"/>
        <v>387,</v>
      </c>
      <c r="I381" t="str">
        <f t="shared" si="39"/>
        <v>'MSFT',</v>
      </c>
      <c r="J381" t="str">
        <f t="shared" si="40"/>
        <v>778.06,</v>
      </c>
      <c r="K381" t="str">
        <f t="shared" si="41"/>
        <v>'SELL',</v>
      </c>
      <c r="L381" t="str">
        <f t="shared" si="42"/>
        <v>'2024-03-20 07:06:00'),</v>
      </c>
      <c r="M381" t="str">
        <f t="shared" si="43"/>
        <v>(7938,387,'MSFT',778.06,'SELL','2024-03-20 07:06:00'),</v>
      </c>
    </row>
    <row r="382" spans="1:13" x14ac:dyDescent="0.2">
      <c r="A382">
        <v>2941</v>
      </c>
      <c r="B382">
        <v>730</v>
      </c>
      <c r="C382" t="s">
        <v>1066</v>
      </c>
      <c r="D382" t="s">
        <v>1446</v>
      </c>
      <c r="E382" t="s">
        <v>1062</v>
      </c>
      <c r="F382" s="8" t="s">
        <v>2442</v>
      </c>
      <c r="G382" t="str">
        <f t="shared" si="37"/>
        <v>(2941,</v>
      </c>
      <c r="H382" t="str">
        <f t="shared" si="38"/>
        <v>730,</v>
      </c>
      <c r="I382" t="str">
        <f t="shared" si="39"/>
        <v>'AMZN',</v>
      </c>
      <c r="J382" t="str">
        <f t="shared" si="40"/>
        <v>548.57,</v>
      </c>
      <c r="K382" t="str">
        <f t="shared" si="41"/>
        <v>'SELL',</v>
      </c>
      <c r="L382" t="str">
        <f t="shared" si="42"/>
        <v>'2024-02-18 04:44:00'),</v>
      </c>
      <c r="M382" t="str">
        <f t="shared" si="43"/>
        <v>(2941,730,'AMZN',548.57,'SELL','2024-02-18 04:44:00'),</v>
      </c>
    </row>
    <row r="383" spans="1:13" x14ac:dyDescent="0.2">
      <c r="A383">
        <v>5705</v>
      </c>
      <c r="B383">
        <v>159</v>
      </c>
      <c r="C383" t="s">
        <v>1069</v>
      </c>
      <c r="D383" t="s">
        <v>1447</v>
      </c>
      <c r="E383" t="s">
        <v>1062</v>
      </c>
      <c r="F383" s="8" t="s">
        <v>2443</v>
      </c>
      <c r="G383" t="str">
        <f t="shared" si="37"/>
        <v>(5705,</v>
      </c>
      <c r="H383" t="str">
        <f t="shared" si="38"/>
        <v>159,</v>
      </c>
      <c r="I383" t="str">
        <f t="shared" si="39"/>
        <v>'MSFT',</v>
      </c>
      <c r="J383" t="str">
        <f t="shared" si="40"/>
        <v>462.68,</v>
      </c>
      <c r="K383" t="str">
        <f t="shared" si="41"/>
        <v>'SELL',</v>
      </c>
      <c r="L383" t="str">
        <f t="shared" si="42"/>
        <v>'2024-03-22 16:14:00'),</v>
      </c>
      <c r="M383" t="str">
        <f t="shared" si="43"/>
        <v>(5705,159,'MSFT',462.68,'SELL','2024-03-22 16:14:00'),</v>
      </c>
    </row>
    <row r="384" spans="1:13" x14ac:dyDescent="0.2">
      <c r="A384">
        <v>5297</v>
      </c>
      <c r="B384">
        <v>629</v>
      </c>
      <c r="C384" t="s">
        <v>1060</v>
      </c>
      <c r="D384" t="s">
        <v>1448</v>
      </c>
      <c r="E384" t="s">
        <v>1062</v>
      </c>
      <c r="F384" s="8" t="s">
        <v>2444</v>
      </c>
      <c r="G384" t="str">
        <f t="shared" si="37"/>
        <v>(5297,</v>
      </c>
      <c r="H384" t="str">
        <f t="shared" si="38"/>
        <v>629,</v>
      </c>
      <c r="I384" t="str">
        <f t="shared" si="39"/>
        <v>'TSLA',</v>
      </c>
      <c r="J384" t="str">
        <f t="shared" si="40"/>
        <v>167.49,</v>
      </c>
      <c r="K384" t="str">
        <f t="shared" si="41"/>
        <v>'SELL',</v>
      </c>
      <c r="L384" t="str">
        <f t="shared" si="42"/>
        <v>'2024-03-19 08:53:00'),</v>
      </c>
      <c r="M384" t="str">
        <f t="shared" si="43"/>
        <v>(5297,629,'TSLA',167.49,'SELL','2024-03-19 08:53:00'),</v>
      </c>
    </row>
    <row r="385" spans="1:13" x14ac:dyDescent="0.2">
      <c r="A385">
        <v>4710</v>
      </c>
      <c r="B385">
        <v>996</v>
      </c>
      <c r="C385" t="s">
        <v>1069</v>
      </c>
      <c r="D385" t="s">
        <v>1449</v>
      </c>
      <c r="E385" t="s">
        <v>1062</v>
      </c>
      <c r="F385" s="8" t="s">
        <v>2445</v>
      </c>
      <c r="G385" t="str">
        <f t="shared" si="37"/>
        <v>(4710,</v>
      </c>
      <c r="H385" t="str">
        <f t="shared" si="38"/>
        <v>996,</v>
      </c>
      <c r="I385" t="str">
        <f t="shared" si="39"/>
        <v>'MSFT',</v>
      </c>
      <c r="J385" t="str">
        <f t="shared" si="40"/>
        <v>529.14,</v>
      </c>
      <c r="K385" t="str">
        <f t="shared" si="41"/>
        <v>'SELL',</v>
      </c>
      <c r="L385" t="str">
        <f t="shared" si="42"/>
        <v>'2024-01-21 22:53:00'),</v>
      </c>
      <c r="M385" t="str">
        <f t="shared" si="43"/>
        <v>(4710,996,'MSFT',529.14,'SELL','2024-01-21 22:53:00'),</v>
      </c>
    </row>
    <row r="386" spans="1:13" x14ac:dyDescent="0.2">
      <c r="A386">
        <v>7531</v>
      </c>
      <c r="B386">
        <v>656</v>
      </c>
      <c r="C386" t="s">
        <v>1069</v>
      </c>
      <c r="D386" t="s">
        <v>1450</v>
      </c>
      <c r="E386" t="s">
        <v>1068</v>
      </c>
      <c r="F386" s="8" t="s">
        <v>2446</v>
      </c>
      <c r="G386" t="str">
        <f t="shared" si="37"/>
        <v>(7531,</v>
      </c>
      <c r="H386" t="str">
        <f t="shared" si="38"/>
        <v>656,</v>
      </c>
      <c r="I386" t="str">
        <f t="shared" si="39"/>
        <v>'MSFT',</v>
      </c>
      <c r="J386" t="str">
        <f t="shared" si="40"/>
        <v>137.24,</v>
      </c>
      <c r="K386" t="str">
        <f t="shared" si="41"/>
        <v>'BUY',</v>
      </c>
      <c r="L386" t="str">
        <f t="shared" si="42"/>
        <v>'2024-02-13 18:46:00'),</v>
      </c>
      <c r="M386" t="str">
        <f t="shared" si="43"/>
        <v>(7531,656,'MSFT',137.24,'BUY','2024-02-13 18:46:00'),</v>
      </c>
    </row>
    <row r="387" spans="1:13" x14ac:dyDescent="0.2">
      <c r="A387">
        <v>6298</v>
      </c>
      <c r="B387">
        <v>677</v>
      </c>
      <c r="C387" t="s">
        <v>1069</v>
      </c>
      <c r="D387" t="s">
        <v>1451</v>
      </c>
      <c r="E387" t="s">
        <v>1062</v>
      </c>
      <c r="F387" s="8" t="s">
        <v>2447</v>
      </c>
      <c r="G387" t="str">
        <f t="shared" ref="G387:G450" si="44">"("&amp;A387&amp;","</f>
        <v>(6298,</v>
      </c>
      <c r="H387" t="str">
        <f t="shared" ref="H387:H450" si="45">B387&amp;","</f>
        <v>677,</v>
      </c>
      <c r="I387" t="str">
        <f t="shared" ref="I387:I450" si="46">"'"&amp;C387&amp;"',"</f>
        <v>'MSFT',</v>
      </c>
      <c r="J387" t="str">
        <f t="shared" ref="J387:J450" si="47">D387&amp;","</f>
        <v>738.61,</v>
      </c>
      <c r="K387" t="str">
        <f t="shared" ref="K387:K450" si="48">"'"&amp;E387&amp;"',"</f>
        <v>'SELL',</v>
      </c>
      <c r="L387" t="str">
        <f t="shared" ref="L387:L450" si="49">"'"&amp;F387&amp;"'),"</f>
        <v>'2024-04-01 18:07:00'),</v>
      </c>
      <c r="M387" t="str">
        <f t="shared" ref="M387:M450" si="50">G387&amp;H387&amp;I387&amp;J387&amp;K387&amp;L387</f>
        <v>(6298,677,'MSFT',738.61,'SELL','2024-04-01 18:07:00'),</v>
      </c>
    </row>
    <row r="388" spans="1:13" x14ac:dyDescent="0.2">
      <c r="A388">
        <v>1691</v>
      </c>
      <c r="B388">
        <v>10</v>
      </c>
      <c r="C388" t="s">
        <v>1069</v>
      </c>
      <c r="D388" t="s">
        <v>1452</v>
      </c>
      <c r="E388" t="s">
        <v>1068</v>
      </c>
      <c r="F388" s="8" t="s">
        <v>2448</v>
      </c>
      <c r="G388" t="str">
        <f t="shared" si="44"/>
        <v>(1691,</v>
      </c>
      <c r="H388" t="str">
        <f t="shared" si="45"/>
        <v>10,</v>
      </c>
      <c r="I388" t="str">
        <f t="shared" si="46"/>
        <v>'MSFT',</v>
      </c>
      <c r="J388" t="str">
        <f t="shared" si="47"/>
        <v>142.87,</v>
      </c>
      <c r="K388" t="str">
        <f t="shared" si="48"/>
        <v>'BUY',</v>
      </c>
      <c r="L388" t="str">
        <f t="shared" si="49"/>
        <v>'2024-05-01 19:02:00'),</v>
      </c>
      <c r="M388" t="str">
        <f t="shared" si="50"/>
        <v>(1691,10,'MSFT',142.87,'BUY','2024-05-01 19:02:00'),</v>
      </c>
    </row>
    <row r="389" spans="1:13" x14ac:dyDescent="0.2">
      <c r="A389">
        <v>5705</v>
      </c>
      <c r="B389">
        <v>403</v>
      </c>
      <c r="C389" t="s">
        <v>1069</v>
      </c>
      <c r="D389" t="s">
        <v>1453</v>
      </c>
      <c r="E389" t="s">
        <v>1062</v>
      </c>
      <c r="F389" s="8" t="s">
        <v>2449</v>
      </c>
      <c r="G389" t="str">
        <f t="shared" si="44"/>
        <v>(5705,</v>
      </c>
      <c r="H389" t="str">
        <f t="shared" si="45"/>
        <v>403,</v>
      </c>
      <c r="I389" t="str">
        <f t="shared" si="46"/>
        <v>'MSFT',</v>
      </c>
      <c r="J389" t="str">
        <f t="shared" si="47"/>
        <v>842.44,</v>
      </c>
      <c r="K389" t="str">
        <f t="shared" si="48"/>
        <v>'SELL',</v>
      </c>
      <c r="L389" t="str">
        <f t="shared" si="49"/>
        <v>'2024-04-22 13:36:00'),</v>
      </c>
      <c r="M389" t="str">
        <f t="shared" si="50"/>
        <v>(5705,403,'MSFT',842.44,'SELL','2024-04-22 13:36:00'),</v>
      </c>
    </row>
    <row r="390" spans="1:13" x14ac:dyDescent="0.2">
      <c r="A390">
        <v>4168</v>
      </c>
      <c r="B390">
        <v>566</v>
      </c>
      <c r="C390" t="s">
        <v>1063</v>
      </c>
      <c r="D390" t="s">
        <v>1454</v>
      </c>
      <c r="E390" t="s">
        <v>1062</v>
      </c>
      <c r="F390" s="8" t="s">
        <v>2450</v>
      </c>
      <c r="G390" t="str">
        <f t="shared" si="44"/>
        <v>(4168,</v>
      </c>
      <c r="H390" t="str">
        <f t="shared" si="45"/>
        <v>566,</v>
      </c>
      <c r="I390" t="str">
        <f t="shared" si="46"/>
        <v>'META',</v>
      </c>
      <c r="J390" t="str">
        <f t="shared" si="47"/>
        <v>904.74,</v>
      </c>
      <c r="K390" t="str">
        <f t="shared" si="48"/>
        <v>'SELL',</v>
      </c>
      <c r="L390" t="str">
        <f t="shared" si="49"/>
        <v>'2024-04-25 19:55:00'),</v>
      </c>
      <c r="M390" t="str">
        <f t="shared" si="50"/>
        <v>(4168,566,'META',904.74,'SELL','2024-04-25 19:55:00'),</v>
      </c>
    </row>
    <row r="391" spans="1:13" x14ac:dyDescent="0.2">
      <c r="A391">
        <v>4168</v>
      </c>
      <c r="B391">
        <v>230</v>
      </c>
      <c r="C391" t="s">
        <v>1063</v>
      </c>
      <c r="D391" t="s">
        <v>1455</v>
      </c>
      <c r="E391" t="s">
        <v>1068</v>
      </c>
      <c r="F391" s="8" t="s">
        <v>2451</v>
      </c>
      <c r="G391" t="str">
        <f t="shared" si="44"/>
        <v>(4168,</v>
      </c>
      <c r="H391" t="str">
        <f t="shared" si="45"/>
        <v>230,</v>
      </c>
      <c r="I391" t="str">
        <f t="shared" si="46"/>
        <v>'META',</v>
      </c>
      <c r="J391" t="str">
        <f t="shared" si="47"/>
        <v>624.32,</v>
      </c>
      <c r="K391" t="str">
        <f t="shared" si="48"/>
        <v>'BUY',</v>
      </c>
      <c r="L391" t="str">
        <f t="shared" si="49"/>
        <v>'2024-02-11 00:27:00'),</v>
      </c>
      <c r="M391" t="str">
        <f t="shared" si="50"/>
        <v>(4168,230,'META',624.32,'BUY','2024-02-11 00:27:00'),</v>
      </c>
    </row>
    <row r="392" spans="1:13" x14ac:dyDescent="0.2">
      <c r="A392">
        <v>5705</v>
      </c>
      <c r="B392">
        <v>925</v>
      </c>
      <c r="C392" t="s">
        <v>1063</v>
      </c>
      <c r="D392" t="s">
        <v>1456</v>
      </c>
      <c r="E392" t="s">
        <v>1068</v>
      </c>
      <c r="F392" s="8" t="s">
        <v>2452</v>
      </c>
      <c r="G392" t="str">
        <f t="shared" si="44"/>
        <v>(5705,</v>
      </c>
      <c r="H392" t="str">
        <f t="shared" si="45"/>
        <v>925,</v>
      </c>
      <c r="I392" t="str">
        <f t="shared" si="46"/>
        <v>'META',</v>
      </c>
      <c r="J392" t="str">
        <f t="shared" si="47"/>
        <v>400.54,</v>
      </c>
      <c r="K392" t="str">
        <f t="shared" si="48"/>
        <v>'BUY',</v>
      </c>
      <c r="L392" t="str">
        <f t="shared" si="49"/>
        <v>'2024-02-21 18:03:00'),</v>
      </c>
      <c r="M392" t="str">
        <f t="shared" si="50"/>
        <v>(5705,925,'META',400.54,'BUY','2024-02-21 18:03:00'),</v>
      </c>
    </row>
    <row r="393" spans="1:13" x14ac:dyDescent="0.2">
      <c r="A393">
        <v>2941</v>
      </c>
      <c r="B393">
        <v>941</v>
      </c>
      <c r="C393" t="s">
        <v>1060</v>
      </c>
      <c r="D393" t="s">
        <v>1457</v>
      </c>
      <c r="E393" t="s">
        <v>1068</v>
      </c>
      <c r="F393" s="8" t="s">
        <v>2453</v>
      </c>
      <c r="G393" t="str">
        <f t="shared" si="44"/>
        <v>(2941,</v>
      </c>
      <c r="H393" t="str">
        <f t="shared" si="45"/>
        <v>941,</v>
      </c>
      <c r="I393" t="str">
        <f t="shared" si="46"/>
        <v>'TSLA',</v>
      </c>
      <c r="J393" t="str">
        <f t="shared" si="47"/>
        <v>598.04,</v>
      </c>
      <c r="K393" t="str">
        <f t="shared" si="48"/>
        <v>'BUY',</v>
      </c>
      <c r="L393" t="str">
        <f t="shared" si="49"/>
        <v>'2024-05-11 09:30:00'),</v>
      </c>
      <c r="M393" t="str">
        <f t="shared" si="50"/>
        <v>(2941,941,'TSLA',598.04,'BUY','2024-05-11 09:30:00'),</v>
      </c>
    </row>
    <row r="394" spans="1:13" x14ac:dyDescent="0.2">
      <c r="A394">
        <v>7922</v>
      </c>
      <c r="B394">
        <v>412</v>
      </c>
      <c r="C394" t="s">
        <v>1063</v>
      </c>
      <c r="D394" t="s">
        <v>1458</v>
      </c>
      <c r="E394" t="s">
        <v>1068</v>
      </c>
      <c r="F394" s="8" t="s">
        <v>2454</v>
      </c>
      <c r="G394" t="str">
        <f t="shared" si="44"/>
        <v>(7922,</v>
      </c>
      <c r="H394" t="str">
        <f t="shared" si="45"/>
        <v>412,</v>
      </c>
      <c r="I394" t="str">
        <f t="shared" si="46"/>
        <v>'META',</v>
      </c>
      <c r="J394" t="str">
        <f t="shared" si="47"/>
        <v>377.82,</v>
      </c>
      <c r="K394" t="str">
        <f t="shared" si="48"/>
        <v>'BUY',</v>
      </c>
      <c r="L394" t="str">
        <f t="shared" si="49"/>
        <v>'2024-05-30 06:51:00'),</v>
      </c>
      <c r="M394" t="str">
        <f t="shared" si="50"/>
        <v>(7922,412,'META',377.82,'BUY','2024-05-30 06:51:00'),</v>
      </c>
    </row>
    <row r="395" spans="1:13" x14ac:dyDescent="0.2">
      <c r="A395">
        <v>4669</v>
      </c>
      <c r="B395">
        <v>177</v>
      </c>
      <c r="C395" t="s">
        <v>1060</v>
      </c>
      <c r="D395" t="s">
        <v>1459</v>
      </c>
      <c r="E395" t="s">
        <v>1062</v>
      </c>
      <c r="F395" s="8" t="s">
        <v>2455</v>
      </c>
      <c r="G395" t="str">
        <f t="shared" si="44"/>
        <v>(4669,</v>
      </c>
      <c r="H395" t="str">
        <f t="shared" si="45"/>
        <v>177,</v>
      </c>
      <c r="I395" t="str">
        <f t="shared" si="46"/>
        <v>'TSLA',</v>
      </c>
      <c r="J395" t="str">
        <f t="shared" si="47"/>
        <v>644.68,</v>
      </c>
      <c r="K395" t="str">
        <f t="shared" si="48"/>
        <v>'SELL',</v>
      </c>
      <c r="L395" t="str">
        <f t="shared" si="49"/>
        <v>'2024-04-26 12:52:00'),</v>
      </c>
      <c r="M395" t="str">
        <f t="shared" si="50"/>
        <v>(4669,177,'TSLA',644.68,'SELL','2024-04-26 12:52:00'),</v>
      </c>
    </row>
    <row r="396" spans="1:13" x14ac:dyDescent="0.2">
      <c r="A396">
        <v>1691</v>
      </c>
      <c r="B396">
        <v>188</v>
      </c>
      <c r="C396" t="s">
        <v>1060</v>
      </c>
      <c r="D396" t="s">
        <v>1460</v>
      </c>
      <c r="E396" t="s">
        <v>1068</v>
      </c>
      <c r="F396" s="8" t="s">
        <v>2456</v>
      </c>
      <c r="G396" t="str">
        <f t="shared" si="44"/>
        <v>(1691,</v>
      </c>
      <c r="H396" t="str">
        <f t="shared" si="45"/>
        <v>188,</v>
      </c>
      <c r="I396" t="str">
        <f t="shared" si="46"/>
        <v>'TSLA',</v>
      </c>
      <c r="J396" t="str">
        <f t="shared" si="47"/>
        <v>626.71,</v>
      </c>
      <c r="K396" t="str">
        <f t="shared" si="48"/>
        <v>'BUY',</v>
      </c>
      <c r="L396" t="str">
        <f t="shared" si="49"/>
        <v>'2024-02-25 09:42:00'),</v>
      </c>
      <c r="M396" t="str">
        <f t="shared" si="50"/>
        <v>(1691,188,'TSLA',626.71,'BUY','2024-02-25 09:42:00'),</v>
      </c>
    </row>
    <row r="397" spans="1:13" x14ac:dyDescent="0.2">
      <c r="A397">
        <v>5705</v>
      </c>
      <c r="B397">
        <v>771</v>
      </c>
      <c r="C397" t="s">
        <v>1063</v>
      </c>
      <c r="D397" t="s">
        <v>1461</v>
      </c>
      <c r="E397" t="s">
        <v>1062</v>
      </c>
      <c r="F397" s="8" t="s">
        <v>2457</v>
      </c>
      <c r="G397" t="str">
        <f t="shared" si="44"/>
        <v>(5705,</v>
      </c>
      <c r="H397" t="str">
        <f t="shared" si="45"/>
        <v>771,</v>
      </c>
      <c r="I397" t="str">
        <f t="shared" si="46"/>
        <v>'META',</v>
      </c>
      <c r="J397" t="str">
        <f t="shared" si="47"/>
        <v>141.95,</v>
      </c>
      <c r="K397" t="str">
        <f t="shared" si="48"/>
        <v>'SELL',</v>
      </c>
      <c r="L397" t="str">
        <f t="shared" si="49"/>
        <v>'2024-05-02 11:03:00'),</v>
      </c>
      <c r="M397" t="str">
        <f t="shared" si="50"/>
        <v>(5705,771,'META',141.95,'SELL','2024-05-02 11:03:00'),</v>
      </c>
    </row>
    <row r="398" spans="1:13" x14ac:dyDescent="0.2">
      <c r="A398">
        <v>5751</v>
      </c>
      <c r="B398">
        <v>192</v>
      </c>
      <c r="C398" t="s">
        <v>1060</v>
      </c>
      <c r="D398" t="s">
        <v>1462</v>
      </c>
      <c r="E398" t="s">
        <v>1062</v>
      </c>
      <c r="F398" s="8" t="s">
        <v>2458</v>
      </c>
      <c r="G398" t="str">
        <f t="shared" si="44"/>
        <v>(5751,</v>
      </c>
      <c r="H398" t="str">
        <f t="shared" si="45"/>
        <v>192,</v>
      </c>
      <c r="I398" t="str">
        <f t="shared" si="46"/>
        <v>'TSLA',</v>
      </c>
      <c r="J398" t="str">
        <f t="shared" si="47"/>
        <v>567.78,</v>
      </c>
      <c r="K398" t="str">
        <f t="shared" si="48"/>
        <v>'SELL',</v>
      </c>
      <c r="L398" t="str">
        <f t="shared" si="49"/>
        <v>'2024-01-09 13:49:00'),</v>
      </c>
      <c r="M398" t="str">
        <f t="shared" si="50"/>
        <v>(5751,192,'TSLA',567.78,'SELL','2024-01-09 13:49:00'),</v>
      </c>
    </row>
    <row r="399" spans="1:13" x14ac:dyDescent="0.2">
      <c r="A399">
        <v>7922</v>
      </c>
      <c r="B399">
        <v>990</v>
      </c>
      <c r="C399" t="s">
        <v>1063</v>
      </c>
      <c r="D399" t="s">
        <v>1463</v>
      </c>
      <c r="E399" t="s">
        <v>1062</v>
      </c>
      <c r="F399" s="8" t="s">
        <v>2459</v>
      </c>
      <c r="G399" t="str">
        <f t="shared" si="44"/>
        <v>(7922,</v>
      </c>
      <c r="H399" t="str">
        <f t="shared" si="45"/>
        <v>990,</v>
      </c>
      <c r="I399" t="str">
        <f t="shared" si="46"/>
        <v>'META',</v>
      </c>
      <c r="J399" t="str">
        <f t="shared" si="47"/>
        <v>709.05,</v>
      </c>
      <c r="K399" t="str">
        <f t="shared" si="48"/>
        <v>'SELL',</v>
      </c>
      <c r="L399" t="str">
        <f t="shared" si="49"/>
        <v>'2024-04-20 05:03:00'),</v>
      </c>
      <c r="M399" t="str">
        <f t="shared" si="50"/>
        <v>(7922,990,'META',709.05,'SELL','2024-04-20 05:03:00'),</v>
      </c>
    </row>
    <row r="400" spans="1:13" x14ac:dyDescent="0.2">
      <c r="A400">
        <v>5705</v>
      </c>
      <c r="B400">
        <v>29</v>
      </c>
      <c r="C400" t="s">
        <v>1066</v>
      </c>
      <c r="D400" t="s">
        <v>1464</v>
      </c>
      <c r="E400" t="s">
        <v>1062</v>
      </c>
      <c r="F400" s="8" t="s">
        <v>2460</v>
      </c>
      <c r="G400" t="str">
        <f t="shared" si="44"/>
        <v>(5705,</v>
      </c>
      <c r="H400" t="str">
        <f t="shared" si="45"/>
        <v>29,</v>
      </c>
      <c r="I400" t="str">
        <f t="shared" si="46"/>
        <v>'AMZN',</v>
      </c>
      <c r="J400" t="str">
        <f t="shared" si="47"/>
        <v>531.1,</v>
      </c>
      <c r="K400" t="str">
        <f t="shared" si="48"/>
        <v>'SELL',</v>
      </c>
      <c r="L400" t="str">
        <f t="shared" si="49"/>
        <v>'2024-03-14 01:22:00'),</v>
      </c>
      <c r="M400" t="str">
        <f t="shared" si="50"/>
        <v>(5705,29,'AMZN',531.1,'SELL','2024-03-14 01:22:00'),</v>
      </c>
    </row>
    <row r="401" spans="1:13" x14ac:dyDescent="0.2">
      <c r="A401">
        <v>6298</v>
      </c>
      <c r="B401">
        <v>348</v>
      </c>
      <c r="C401" t="s">
        <v>1069</v>
      </c>
      <c r="D401" t="s">
        <v>1465</v>
      </c>
      <c r="E401" t="s">
        <v>1062</v>
      </c>
      <c r="F401" s="8" t="s">
        <v>2461</v>
      </c>
      <c r="G401" t="str">
        <f t="shared" si="44"/>
        <v>(6298,</v>
      </c>
      <c r="H401" t="str">
        <f t="shared" si="45"/>
        <v>348,</v>
      </c>
      <c r="I401" t="str">
        <f t="shared" si="46"/>
        <v>'MSFT',</v>
      </c>
      <c r="J401" t="str">
        <f t="shared" si="47"/>
        <v>388.63,</v>
      </c>
      <c r="K401" t="str">
        <f t="shared" si="48"/>
        <v>'SELL',</v>
      </c>
      <c r="L401" t="str">
        <f t="shared" si="49"/>
        <v>'2024-02-18 01:46:00'),</v>
      </c>
      <c r="M401" t="str">
        <f t="shared" si="50"/>
        <v>(6298,348,'MSFT',388.63,'SELL','2024-02-18 01:46:00'),</v>
      </c>
    </row>
    <row r="402" spans="1:13" x14ac:dyDescent="0.2">
      <c r="A402">
        <v>9094</v>
      </c>
      <c r="B402">
        <v>774</v>
      </c>
      <c r="C402" t="s">
        <v>1066</v>
      </c>
      <c r="D402" t="s">
        <v>1466</v>
      </c>
      <c r="E402" t="s">
        <v>1068</v>
      </c>
      <c r="F402" s="8" t="s">
        <v>2462</v>
      </c>
      <c r="G402" t="str">
        <f t="shared" si="44"/>
        <v>(9094,</v>
      </c>
      <c r="H402" t="str">
        <f t="shared" si="45"/>
        <v>774,</v>
      </c>
      <c r="I402" t="str">
        <f t="shared" si="46"/>
        <v>'AMZN',</v>
      </c>
      <c r="J402" t="str">
        <f t="shared" si="47"/>
        <v>989.57,</v>
      </c>
      <c r="K402" t="str">
        <f t="shared" si="48"/>
        <v>'BUY',</v>
      </c>
      <c r="L402" t="str">
        <f t="shared" si="49"/>
        <v>'2024-02-10 14:13:00'),</v>
      </c>
      <c r="M402" t="str">
        <f t="shared" si="50"/>
        <v>(9094,774,'AMZN',989.57,'BUY','2024-02-10 14:13:00'),</v>
      </c>
    </row>
    <row r="403" spans="1:13" x14ac:dyDescent="0.2">
      <c r="A403">
        <v>9094</v>
      </c>
      <c r="B403">
        <v>189</v>
      </c>
      <c r="C403" t="s">
        <v>1066</v>
      </c>
      <c r="D403" t="s">
        <v>1467</v>
      </c>
      <c r="E403" t="s">
        <v>1068</v>
      </c>
      <c r="F403" s="8" t="s">
        <v>2463</v>
      </c>
      <c r="G403" t="str">
        <f t="shared" si="44"/>
        <v>(9094,</v>
      </c>
      <c r="H403" t="str">
        <f t="shared" si="45"/>
        <v>189,</v>
      </c>
      <c r="I403" t="str">
        <f t="shared" si="46"/>
        <v>'AMZN',</v>
      </c>
      <c r="J403" t="str">
        <f t="shared" si="47"/>
        <v>726.63,</v>
      </c>
      <c r="K403" t="str">
        <f t="shared" si="48"/>
        <v>'BUY',</v>
      </c>
      <c r="L403" t="str">
        <f t="shared" si="49"/>
        <v>'2024-03-06 01:10:00'),</v>
      </c>
      <c r="M403" t="str">
        <f t="shared" si="50"/>
        <v>(9094,189,'AMZN',726.63,'BUY','2024-03-06 01:10:00'),</v>
      </c>
    </row>
    <row r="404" spans="1:13" x14ac:dyDescent="0.2">
      <c r="A404">
        <v>6298</v>
      </c>
      <c r="B404">
        <v>369</v>
      </c>
      <c r="C404" t="s">
        <v>1060</v>
      </c>
      <c r="D404" t="s">
        <v>1468</v>
      </c>
      <c r="E404" t="s">
        <v>1068</v>
      </c>
      <c r="F404" s="8" t="s">
        <v>2464</v>
      </c>
      <c r="G404" t="str">
        <f t="shared" si="44"/>
        <v>(6298,</v>
      </c>
      <c r="H404" t="str">
        <f t="shared" si="45"/>
        <v>369,</v>
      </c>
      <c r="I404" t="str">
        <f t="shared" si="46"/>
        <v>'TSLA',</v>
      </c>
      <c r="J404" t="str">
        <f t="shared" si="47"/>
        <v>136.36,</v>
      </c>
      <c r="K404" t="str">
        <f t="shared" si="48"/>
        <v>'BUY',</v>
      </c>
      <c r="L404" t="str">
        <f t="shared" si="49"/>
        <v>'2024-03-09 21:51:00'),</v>
      </c>
      <c r="M404" t="str">
        <f t="shared" si="50"/>
        <v>(6298,369,'TSLA',136.36,'BUY','2024-03-09 21:51:00'),</v>
      </c>
    </row>
    <row r="405" spans="1:13" x14ac:dyDescent="0.2">
      <c r="A405">
        <v>6298</v>
      </c>
      <c r="B405">
        <v>75</v>
      </c>
      <c r="C405" t="s">
        <v>1066</v>
      </c>
      <c r="D405" t="s">
        <v>1469</v>
      </c>
      <c r="E405" t="s">
        <v>1068</v>
      </c>
      <c r="F405" s="8" t="s">
        <v>2465</v>
      </c>
      <c r="G405" t="str">
        <f t="shared" si="44"/>
        <v>(6298,</v>
      </c>
      <c r="H405" t="str">
        <f t="shared" si="45"/>
        <v>75,</v>
      </c>
      <c r="I405" t="str">
        <f t="shared" si="46"/>
        <v>'AMZN',</v>
      </c>
      <c r="J405" t="str">
        <f t="shared" si="47"/>
        <v>562.98,</v>
      </c>
      <c r="K405" t="str">
        <f t="shared" si="48"/>
        <v>'BUY',</v>
      </c>
      <c r="L405" t="str">
        <f t="shared" si="49"/>
        <v>'2024-03-25 04:21:00'),</v>
      </c>
      <c r="M405" t="str">
        <f t="shared" si="50"/>
        <v>(6298,75,'AMZN',562.98,'BUY','2024-03-25 04:21:00'),</v>
      </c>
    </row>
    <row r="406" spans="1:13" x14ac:dyDescent="0.2">
      <c r="A406">
        <v>6298</v>
      </c>
      <c r="B406">
        <v>834</v>
      </c>
      <c r="C406" t="s">
        <v>1060</v>
      </c>
      <c r="D406" t="s">
        <v>1470</v>
      </c>
      <c r="E406" t="s">
        <v>1062</v>
      </c>
      <c r="F406" s="8" t="s">
        <v>2466</v>
      </c>
      <c r="G406" t="str">
        <f t="shared" si="44"/>
        <v>(6298,</v>
      </c>
      <c r="H406" t="str">
        <f t="shared" si="45"/>
        <v>834,</v>
      </c>
      <c r="I406" t="str">
        <f t="shared" si="46"/>
        <v>'TSLA',</v>
      </c>
      <c r="J406" t="str">
        <f t="shared" si="47"/>
        <v>184.38,</v>
      </c>
      <c r="K406" t="str">
        <f t="shared" si="48"/>
        <v>'SELL',</v>
      </c>
      <c r="L406" t="str">
        <f t="shared" si="49"/>
        <v>'2024-04-07 02:42:00'),</v>
      </c>
      <c r="M406" t="str">
        <f t="shared" si="50"/>
        <v>(6298,834,'TSLA',184.38,'SELL','2024-04-07 02:42:00'),</v>
      </c>
    </row>
    <row r="407" spans="1:13" x14ac:dyDescent="0.2">
      <c r="A407">
        <v>1691</v>
      </c>
      <c r="B407">
        <v>880</v>
      </c>
      <c r="C407" t="s">
        <v>1060</v>
      </c>
      <c r="D407" t="s">
        <v>1471</v>
      </c>
      <c r="E407" t="s">
        <v>1062</v>
      </c>
      <c r="F407" s="8" t="s">
        <v>2467</v>
      </c>
      <c r="G407" t="str">
        <f t="shared" si="44"/>
        <v>(1691,</v>
      </c>
      <c r="H407" t="str">
        <f t="shared" si="45"/>
        <v>880,</v>
      </c>
      <c r="I407" t="str">
        <f t="shared" si="46"/>
        <v>'TSLA',</v>
      </c>
      <c r="J407" t="str">
        <f t="shared" si="47"/>
        <v>814.07,</v>
      </c>
      <c r="K407" t="str">
        <f t="shared" si="48"/>
        <v>'SELL',</v>
      </c>
      <c r="L407" t="str">
        <f t="shared" si="49"/>
        <v>'2024-02-08 13:41:00'),</v>
      </c>
      <c r="M407" t="str">
        <f t="shared" si="50"/>
        <v>(1691,880,'TSLA',814.07,'SELL','2024-02-08 13:41:00'),</v>
      </c>
    </row>
    <row r="408" spans="1:13" x14ac:dyDescent="0.2">
      <c r="A408">
        <v>5751</v>
      </c>
      <c r="B408">
        <v>53</v>
      </c>
      <c r="C408" t="s">
        <v>1069</v>
      </c>
      <c r="D408" t="s">
        <v>1472</v>
      </c>
      <c r="E408" t="s">
        <v>1068</v>
      </c>
      <c r="F408" s="8" t="s">
        <v>2468</v>
      </c>
      <c r="G408" t="str">
        <f t="shared" si="44"/>
        <v>(5751,</v>
      </c>
      <c r="H408" t="str">
        <f t="shared" si="45"/>
        <v>53,</v>
      </c>
      <c r="I408" t="str">
        <f t="shared" si="46"/>
        <v>'MSFT',</v>
      </c>
      <c r="J408" t="str">
        <f t="shared" si="47"/>
        <v>581.3,</v>
      </c>
      <c r="K408" t="str">
        <f t="shared" si="48"/>
        <v>'BUY',</v>
      </c>
      <c r="L408" t="str">
        <f t="shared" si="49"/>
        <v>'2024-03-03 05:09:00'),</v>
      </c>
      <c r="M408" t="str">
        <f t="shared" si="50"/>
        <v>(5751,53,'MSFT',581.3,'BUY','2024-03-03 05:09:00'),</v>
      </c>
    </row>
    <row r="409" spans="1:13" x14ac:dyDescent="0.2">
      <c r="A409">
        <v>6298</v>
      </c>
      <c r="B409">
        <v>149</v>
      </c>
      <c r="C409" t="s">
        <v>1069</v>
      </c>
      <c r="D409" t="s">
        <v>1473</v>
      </c>
      <c r="E409" t="s">
        <v>1068</v>
      </c>
      <c r="F409" s="8" t="s">
        <v>2469</v>
      </c>
      <c r="G409" t="str">
        <f t="shared" si="44"/>
        <v>(6298,</v>
      </c>
      <c r="H409" t="str">
        <f t="shared" si="45"/>
        <v>149,</v>
      </c>
      <c r="I409" t="str">
        <f t="shared" si="46"/>
        <v>'MSFT',</v>
      </c>
      <c r="J409" t="str">
        <f t="shared" si="47"/>
        <v>537.14,</v>
      </c>
      <c r="K409" t="str">
        <f t="shared" si="48"/>
        <v>'BUY',</v>
      </c>
      <c r="L409" t="str">
        <f t="shared" si="49"/>
        <v>'2024-03-31 20:31:00'),</v>
      </c>
      <c r="M409" t="str">
        <f t="shared" si="50"/>
        <v>(6298,149,'MSFT',537.14,'BUY','2024-03-31 20:31:00'),</v>
      </c>
    </row>
    <row r="410" spans="1:13" x14ac:dyDescent="0.2">
      <c r="A410">
        <v>7938</v>
      </c>
      <c r="B410">
        <v>53</v>
      </c>
      <c r="C410" t="s">
        <v>1060</v>
      </c>
      <c r="D410" t="s">
        <v>1474</v>
      </c>
      <c r="E410" t="s">
        <v>1068</v>
      </c>
      <c r="F410" s="8" t="s">
        <v>2470</v>
      </c>
      <c r="G410" t="str">
        <f t="shared" si="44"/>
        <v>(7938,</v>
      </c>
      <c r="H410" t="str">
        <f t="shared" si="45"/>
        <v>53,</v>
      </c>
      <c r="I410" t="str">
        <f t="shared" si="46"/>
        <v>'TSLA',</v>
      </c>
      <c r="J410" t="str">
        <f t="shared" si="47"/>
        <v>639.59,</v>
      </c>
      <c r="K410" t="str">
        <f t="shared" si="48"/>
        <v>'BUY',</v>
      </c>
      <c r="L410" t="str">
        <f t="shared" si="49"/>
        <v>'2024-05-19 20:25:00'),</v>
      </c>
      <c r="M410" t="str">
        <f t="shared" si="50"/>
        <v>(7938,53,'TSLA',639.59,'BUY','2024-05-19 20:25:00'),</v>
      </c>
    </row>
    <row r="411" spans="1:13" x14ac:dyDescent="0.2">
      <c r="A411">
        <v>7531</v>
      </c>
      <c r="B411">
        <v>771</v>
      </c>
      <c r="C411" t="s">
        <v>1063</v>
      </c>
      <c r="D411" t="s">
        <v>1475</v>
      </c>
      <c r="E411" t="s">
        <v>1062</v>
      </c>
      <c r="F411" s="8" t="s">
        <v>2471</v>
      </c>
      <c r="G411" t="str">
        <f t="shared" si="44"/>
        <v>(7531,</v>
      </c>
      <c r="H411" t="str">
        <f t="shared" si="45"/>
        <v>771,</v>
      </c>
      <c r="I411" t="str">
        <f t="shared" si="46"/>
        <v>'META',</v>
      </c>
      <c r="J411" t="str">
        <f t="shared" si="47"/>
        <v>817.59,</v>
      </c>
      <c r="K411" t="str">
        <f t="shared" si="48"/>
        <v>'SELL',</v>
      </c>
      <c r="L411" t="str">
        <f t="shared" si="49"/>
        <v>'2024-03-06 02:37:00'),</v>
      </c>
      <c r="M411" t="str">
        <f t="shared" si="50"/>
        <v>(7531,771,'META',817.59,'SELL','2024-03-06 02:37:00'),</v>
      </c>
    </row>
    <row r="412" spans="1:13" x14ac:dyDescent="0.2">
      <c r="A412">
        <v>9094</v>
      </c>
      <c r="B412">
        <v>451</v>
      </c>
      <c r="C412" t="s">
        <v>1063</v>
      </c>
      <c r="D412" t="s">
        <v>1476</v>
      </c>
      <c r="E412" t="s">
        <v>1062</v>
      </c>
      <c r="F412" s="8" t="s">
        <v>2472</v>
      </c>
      <c r="G412" t="str">
        <f t="shared" si="44"/>
        <v>(9094,</v>
      </c>
      <c r="H412" t="str">
        <f t="shared" si="45"/>
        <v>451,</v>
      </c>
      <c r="I412" t="str">
        <f t="shared" si="46"/>
        <v>'META',</v>
      </c>
      <c r="J412" t="str">
        <f t="shared" si="47"/>
        <v>470.29,</v>
      </c>
      <c r="K412" t="str">
        <f t="shared" si="48"/>
        <v>'SELL',</v>
      </c>
      <c r="L412" t="str">
        <f t="shared" si="49"/>
        <v>'2024-04-17 15:17:00'),</v>
      </c>
      <c r="M412" t="str">
        <f t="shared" si="50"/>
        <v>(9094,451,'META',470.29,'SELL','2024-04-17 15:17:00'),</v>
      </c>
    </row>
    <row r="413" spans="1:13" x14ac:dyDescent="0.2">
      <c r="A413">
        <v>2941</v>
      </c>
      <c r="B413">
        <v>772</v>
      </c>
      <c r="C413" t="s">
        <v>1063</v>
      </c>
      <c r="D413" t="s">
        <v>1477</v>
      </c>
      <c r="E413" t="s">
        <v>1068</v>
      </c>
      <c r="F413" s="8" t="s">
        <v>2473</v>
      </c>
      <c r="G413" t="str">
        <f t="shared" si="44"/>
        <v>(2941,</v>
      </c>
      <c r="H413" t="str">
        <f t="shared" si="45"/>
        <v>772,</v>
      </c>
      <c r="I413" t="str">
        <f t="shared" si="46"/>
        <v>'META',</v>
      </c>
      <c r="J413" t="str">
        <f t="shared" si="47"/>
        <v>478.16,</v>
      </c>
      <c r="K413" t="str">
        <f t="shared" si="48"/>
        <v>'BUY',</v>
      </c>
      <c r="L413" t="str">
        <f t="shared" si="49"/>
        <v>'2024-04-22 20:52:00'),</v>
      </c>
      <c r="M413" t="str">
        <f t="shared" si="50"/>
        <v>(2941,772,'META',478.16,'BUY','2024-04-22 20:52:00'),</v>
      </c>
    </row>
    <row r="414" spans="1:13" x14ac:dyDescent="0.2">
      <c r="A414">
        <v>7922</v>
      </c>
      <c r="B414">
        <v>471</v>
      </c>
      <c r="C414" t="s">
        <v>1063</v>
      </c>
      <c r="D414" t="s">
        <v>1478</v>
      </c>
      <c r="E414" t="s">
        <v>1062</v>
      </c>
      <c r="F414" s="8" t="s">
        <v>2474</v>
      </c>
      <c r="G414" t="str">
        <f t="shared" si="44"/>
        <v>(7922,</v>
      </c>
      <c r="H414" t="str">
        <f t="shared" si="45"/>
        <v>471,</v>
      </c>
      <c r="I414" t="str">
        <f t="shared" si="46"/>
        <v>'META',</v>
      </c>
      <c r="J414" t="str">
        <f t="shared" si="47"/>
        <v>526.8,</v>
      </c>
      <c r="K414" t="str">
        <f t="shared" si="48"/>
        <v>'SELL',</v>
      </c>
      <c r="L414" t="str">
        <f t="shared" si="49"/>
        <v>'2024-02-19 12:17:00'),</v>
      </c>
      <c r="M414" t="str">
        <f t="shared" si="50"/>
        <v>(7922,471,'META',526.8,'SELL','2024-02-19 12:17:00'),</v>
      </c>
    </row>
    <row r="415" spans="1:13" x14ac:dyDescent="0.2">
      <c r="A415">
        <v>4168</v>
      </c>
      <c r="B415">
        <v>607</v>
      </c>
      <c r="C415" t="s">
        <v>1063</v>
      </c>
      <c r="D415" t="s">
        <v>1479</v>
      </c>
      <c r="E415" t="s">
        <v>1062</v>
      </c>
      <c r="F415" s="8" t="s">
        <v>2475</v>
      </c>
      <c r="G415" t="str">
        <f t="shared" si="44"/>
        <v>(4168,</v>
      </c>
      <c r="H415" t="str">
        <f t="shared" si="45"/>
        <v>607,</v>
      </c>
      <c r="I415" t="str">
        <f t="shared" si="46"/>
        <v>'META',</v>
      </c>
      <c r="J415" t="str">
        <f t="shared" si="47"/>
        <v>214.09,</v>
      </c>
      <c r="K415" t="str">
        <f t="shared" si="48"/>
        <v>'SELL',</v>
      </c>
      <c r="L415" t="str">
        <f t="shared" si="49"/>
        <v>'2024-03-11 00:20:00'),</v>
      </c>
      <c r="M415" t="str">
        <f t="shared" si="50"/>
        <v>(4168,607,'META',214.09,'SELL','2024-03-11 00:20:00'),</v>
      </c>
    </row>
    <row r="416" spans="1:13" x14ac:dyDescent="0.2">
      <c r="A416">
        <v>1691</v>
      </c>
      <c r="B416">
        <v>142</v>
      </c>
      <c r="C416" t="s">
        <v>1066</v>
      </c>
      <c r="D416" t="s">
        <v>1480</v>
      </c>
      <c r="E416" t="s">
        <v>1068</v>
      </c>
      <c r="F416" s="8" t="s">
        <v>2476</v>
      </c>
      <c r="G416" t="str">
        <f t="shared" si="44"/>
        <v>(1691,</v>
      </c>
      <c r="H416" t="str">
        <f t="shared" si="45"/>
        <v>142,</v>
      </c>
      <c r="I416" t="str">
        <f t="shared" si="46"/>
        <v>'AMZN',</v>
      </c>
      <c r="J416" t="str">
        <f t="shared" si="47"/>
        <v>975.57,</v>
      </c>
      <c r="K416" t="str">
        <f t="shared" si="48"/>
        <v>'BUY',</v>
      </c>
      <c r="L416" t="str">
        <f t="shared" si="49"/>
        <v>'2024-04-30 20:21:00'),</v>
      </c>
      <c r="M416" t="str">
        <f t="shared" si="50"/>
        <v>(1691,142,'AMZN',975.57,'BUY','2024-04-30 20:21:00'),</v>
      </c>
    </row>
    <row r="417" spans="1:13" x14ac:dyDescent="0.2">
      <c r="A417">
        <v>4710</v>
      </c>
      <c r="B417">
        <v>772</v>
      </c>
      <c r="C417" t="s">
        <v>1063</v>
      </c>
      <c r="D417" t="s">
        <v>1481</v>
      </c>
      <c r="E417" t="s">
        <v>1062</v>
      </c>
      <c r="F417" s="8" t="s">
        <v>2477</v>
      </c>
      <c r="G417" t="str">
        <f t="shared" si="44"/>
        <v>(4710,</v>
      </c>
      <c r="H417" t="str">
        <f t="shared" si="45"/>
        <v>772,</v>
      </c>
      <c r="I417" t="str">
        <f t="shared" si="46"/>
        <v>'META',</v>
      </c>
      <c r="J417" t="str">
        <f t="shared" si="47"/>
        <v>702.27,</v>
      </c>
      <c r="K417" t="str">
        <f t="shared" si="48"/>
        <v>'SELL',</v>
      </c>
      <c r="L417" t="str">
        <f t="shared" si="49"/>
        <v>'2024-05-09 04:06:00'),</v>
      </c>
      <c r="M417" t="str">
        <f t="shared" si="50"/>
        <v>(4710,772,'META',702.27,'SELL','2024-05-09 04:06:00'),</v>
      </c>
    </row>
    <row r="418" spans="1:13" x14ac:dyDescent="0.2">
      <c r="A418">
        <v>4168</v>
      </c>
      <c r="B418">
        <v>811</v>
      </c>
      <c r="C418" t="s">
        <v>1060</v>
      </c>
      <c r="D418" t="s">
        <v>1482</v>
      </c>
      <c r="E418" t="s">
        <v>1062</v>
      </c>
      <c r="F418" s="8" t="s">
        <v>2478</v>
      </c>
      <c r="G418" t="str">
        <f t="shared" si="44"/>
        <v>(4168,</v>
      </c>
      <c r="H418" t="str">
        <f t="shared" si="45"/>
        <v>811,</v>
      </c>
      <c r="I418" t="str">
        <f t="shared" si="46"/>
        <v>'TSLA',</v>
      </c>
      <c r="J418" t="str">
        <f t="shared" si="47"/>
        <v>823.8,</v>
      </c>
      <c r="K418" t="str">
        <f t="shared" si="48"/>
        <v>'SELL',</v>
      </c>
      <c r="L418" t="str">
        <f t="shared" si="49"/>
        <v>'2024-02-16 06:35:00'),</v>
      </c>
      <c r="M418" t="str">
        <f t="shared" si="50"/>
        <v>(4168,811,'TSLA',823.8,'SELL','2024-02-16 06:35:00'),</v>
      </c>
    </row>
    <row r="419" spans="1:13" x14ac:dyDescent="0.2">
      <c r="A419">
        <v>5705</v>
      </c>
      <c r="B419">
        <v>675</v>
      </c>
      <c r="C419" t="s">
        <v>1066</v>
      </c>
      <c r="D419" t="s">
        <v>1483</v>
      </c>
      <c r="E419" t="s">
        <v>1062</v>
      </c>
      <c r="F419" s="8" t="s">
        <v>2479</v>
      </c>
      <c r="G419" t="str">
        <f t="shared" si="44"/>
        <v>(5705,</v>
      </c>
      <c r="H419" t="str">
        <f t="shared" si="45"/>
        <v>675,</v>
      </c>
      <c r="I419" t="str">
        <f t="shared" si="46"/>
        <v>'AMZN',</v>
      </c>
      <c r="J419" t="str">
        <f t="shared" si="47"/>
        <v>756.61,</v>
      </c>
      <c r="K419" t="str">
        <f t="shared" si="48"/>
        <v>'SELL',</v>
      </c>
      <c r="L419" t="str">
        <f t="shared" si="49"/>
        <v>'2024-02-15 17:32:00'),</v>
      </c>
      <c r="M419" t="str">
        <f t="shared" si="50"/>
        <v>(5705,675,'AMZN',756.61,'SELL','2024-02-15 17:32:00'),</v>
      </c>
    </row>
    <row r="420" spans="1:13" x14ac:dyDescent="0.2">
      <c r="A420">
        <v>7531</v>
      </c>
      <c r="B420">
        <v>227</v>
      </c>
      <c r="C420" t="s">
        <v>1066</v>
      </c>
      <c r="D420" t="s">
        <v>1484</v>
      </c>
      <c r="E420" t="s">
        <v>1062</v>
      </c>
      <c r="F420" s="8" t="s">
        <v>2480</v>
      </c>
      <c r="G420" t="str">
        <f t="shared" si="44"/>
        <v>(7531,</v>
      </c>
      <c r="H420" t="str">
        <f t="shared" si="45"/>
        <v>227,</v>
      </c>
      <c r="I420" t="str">
        <f t="shared" si="46"/>
        <v>'AMZN',</v>
      </c>
      <c r="J420" t="str">
        <f t="shared" si="47"/>
        <v>728.21,</v>
      </c>
      <c r="K420" t="str">
        <f t="shared" si="48"/>
        <v>'SELL',</v>
      </c>
      <c r="L420" t="str">
        <f t="shared" si="49"/>
        <v>'2024-05-09 15:48:00'),</v>
      </c>
      <c r="M420" t="str">
        <f t="shared" si="50"/>
        <v>(7531,227,'AMZN',728.21,'SELL','2024-05-09 15:48:00'),</v>
      </c>
    </row>
    <row r="421" spans="1:13" x14ac:dyDescent="0.2">
      <c r="A421">
        <v>9094</v>
      </c>
      <c r="B421">
        <v>315</v>
      </c>
      <c r="C421" t="s">
        <v>1069</v>
      </c>
      <c r="D421" t="s">
        <v>1485</v>
      </c>
      <c r="E421" t="s">
        <v>1062</v>
      </c>
      <c r="F421" s="8" t="s">
        <v>2481</v>
      </c>
      <c r="G421" t="str">
        <f t="shared" si="44"/>
        <v>(9094,</v>
      </c>
      <c r="H421" t="str">
        <f t="shared" si="45"/>
        <v>315,</v>
      </c>
      <c r="I421" t="str">
        <f t="shared" si="46"/>
        <v>'MSFT',</v>
      </c>
      <c r="J421" t="str">
        <f t="shared" si="47"/>
        <v>861.86,</v>
      </c>
      <c r="K421" t="str">
        <f t="shared" si="48"/>
        <v>'SELL',</v>
      </c>
      <c r="L421" t="str">
        <f t="shared" si="49"/>
        <v>'2024-03-27 13:48:00'),</v>
      </c>
      <c r="M421" t="str">
        <f t="shared" si="50"/>
        <v>(9094,315,'MSFT',861.86,'SELL','2024-03-27 13:48:00'),</v>
      </c>
    </row>
    <row r="422" spans="1:13" x14ac:dyDescent="0.2">
      <c r="A422">
        <v>6298</v>
      </c>
      <c r="B422">
        <v>99</v>
      </c>
      <c r="C422" t="s">
        <v>1066</v>
      </c>
      <c r="D422" t="s">
        <v>1486</v>
      </c>
      <c r="E422" t="s">
        <v>1062</v>
      </c>
      <c r="F422" s="8" t="s">
        <v>2482</v>
      </c>
      <c r="G422" t="str">
        <f t="shared" si="44"/>
        <v>(6298,</v>
      </c>
      <c r="H422" t="str">
        <f t="shared" si="45"/>
        <v>99,</v>
      </c>
      <c r="I422" t="str">
        <f t="shared" si="46"/>
        <v>'AMZN',</v>
      </c>
      <c r="J422" t="str">
        <f t="shared" si="47"/>
        <v>885.91,</v>
      </c>
      <c r="K422" t="str">
        <f t="shared" si="48"/>
        <v>'SELL',</v>
      </c>
      <c r="L422" t="str">
        <f t="shared" si="49"/>
        <v>'2024-02-17 22:26:00'),</v>
      </c>
      <c r="M422" t="str">
        <f t="shared" si="50"/>
        <v>(6298,99,'AMZN',885.91,'SELL','2024-02-17 22:26:00'),</v>
      </c>
    </row>
    <row r="423" spans="1:13" x14ac:dyDescent="0.2">
      <c r="A423">
        <v>5705</v>
      </c>
      <c r="B423">
        <v>518</v>
      </c>
      <c r="C423" t="s">
        <v>1063</v>
      </c>
      <c r="D423" t="s">
        <v>1487</v>
      </c>
      <c r="E423" t="s">
        <v>1068</v>
      </c>
      <c r="F423" s="8" t="s">
        <v>2483</v>
      </c>
      <c r="G423" t="str">
        <f t="shared" si="44"/>
        <v>(5705,</v>
      </c>
      <c r="H423" t="str">
        <f t="shared" si="45"/>
        <v>518,</v>
      </c>
      <c r="I423" t="str">
        <f t="shared" si="46"/>
        <v>'META',</v>
      </c>
      <c r="J423" t="str">
        <f t="shared" si="47"/>
        <v>896.59,</v>
      </c>
      <c r="K423" t="str">
        <f t="shared" si="48"/>
        <v>'BUY',</v>
      </c>
      <c r="L423" t="str">
        <f t="shared" si="49"/>
        <v>'2024-05-22 16:23:00'),</v>
      </c>
      <c r="M423" t="str">
        <f t="shared" si="50"/>
        <v>(5705,518,'META',896.59,'BUY','2024-05-22 16:23:00'),</v>
      </c>
    </row>
    <row r="424" spans="1:13" x14ac:dyDescent="0.2">
      <c r="A424">
        <v>9952</v>
      </c>
      <c r="B424">
        <v>168</v>
      </c>
      <c r="C424" t="s">
        <v>1063</v>
      </c>
      <c r="D424" t="s">
        <v>1488</v>
      </c>
      <c r="E424" t="s">
        <v>1062</v>
      </c>
      <c r="F424" s="8" t="s">
        <v>2484</v>
      </c>
      <c r="G424" t="str">
        <f t="shared" si="44"/>
        <v>(9952,</v>
      </c>
      <c r="H424" t="str">
        <f t="shared" si="45"/>
        <v>168,</v>
      </c>
      <c r="I424" t="str">
        <f t="shared" si="46"/>
        <v>'META',</v>
      </c>
      <c r="J424" t="str">
        <f t="shared" si="47"/>
        <v>484.2,</v>
      </c>
      <c r="K424" t="str">
        <f t="shared" si="48"/>
        <v>'SELL',</v>
      </c>
      <c r="L424" t="str">
        <f t="shared" si="49"/>
        <v>'2024-01-22 09:55:00'),</v>
      </c>
      <c r="M424" t="str">
        <f t="shared" si="50"/>
        <v>(9952,168,'META',484.2,'SELL','2024-01-22 09:55:00'),</v>
      </c>
    </row>
    <row r="425" spans="1:13" x14ac:dyDescent="0.2">
      <c r="A425">
        <v>7938</v>
      </c>
      <c r="B425">
        <v>935</v>
      </c>
      <c r="C425" t="s">
        <v>1069</v>
      </c>
      <c r="D425" t="s">
        <v>1489</v>
      </c>
      <c r="E425" t="s">
        <v>1068</v>
      </c>
      <c r="F425" s="8" t="s">
        <v>2485</v>
      </c>
      <c r="G425" t="str">
        <f t="shared" si="44"/>
        <v>(7938,</v>
      </c>
      <c r="H425" t="str">
        <f t="shared" si="45"/>
        <v>935,</v>
      </c>
      <c r="I425" t="str">
        <f t="shared" si="46"/>
        <v>'MSFT',</v>
      </c>
      <c r="J425" t="str">
        <f t="shared" si="47"/>
        <v>140.64,</v>
      </c>
      <c r="K425" t="str">
        <f t="shared" si="48"/>
        <v>'BUY',</v>
      </c>
      <c r="L425" t="str">
        <f t="shared" si="49"/>
        <v>'2024-03-29 13:58:00'),</v>
      </c>
      <c r="M425" t="str">
        <f t="shared" si="50"/>
        <v>(7938,935,'MSFT',140.64,'BUY','2024-03-29 13:58:00'),</v>
      </c>
    </row>
    <row r="426" spans="1:13" x14ac:dyDescent="0.2">
      <c r="A426">
        <v>7938</v>
      </c>
      <c r="B426">
        <v>516</v>
      </c>
      <c r="C426" t="s">
        <v>1063</v>
      </c>
      <c r="D426" t="s">
        <v>1490</v>
      </c>
      <c r="E426" t="s">
        <v>1068</v>
      </c>
      <c r="F426" s="8" t="s">
        <v>2486</v>
      </c>
      <c r="G426" t="str">
        <f t="shared" si="44"/>
        <v>(7938,</v>
      </c>
      <c r="H426" t="str">
        <f t="shared" si="45"/>
        <v>516,</v>
      </c>
      <c r="I426" t="str">
        <f t="shared" si="46"/>
        <v>'META',</v>
      </c>
      <c r="J426" t="str">
        <f t="shared" si="47"/>
        <v>903.15,</v>
      </c>
      <c r="K426" t="str">
        <f t="shared" si="48"/>
        <v>'BUY',</v>
      </c>
      <c r="L426" t="str">
        <f t="shared" si="49"/>
        <v>'2024-05-05 04:18:00'),</v>
      </c>
      <c r="M426" t="str">
        <f t="shared" si="50"/>
        <v>(7938,516,'META',903.15,'BUY','2024-05-05 04:18:00'),</v>
      </c>
    </row>
    <row r="427" spans="1:13" x14ac:dyDescent="0.2">
      <c r="A427">
        <v>7531</v>
      </c>
      <c r="B427">
        <v>49</v>
      </c>
      <c r="C427" t="s">
        <v>1066</v>
      </c>
      <c r="D427" t="s">
        <v>1491</v>
      </c>
      <c r="E427" t="s">
        <v>1068</v>
      </c>
      <c r="F427" s="8" t="s">
        <v>2487</v>
      </c>
      <c r="G427" t="str">
        <f t="shared" si="44"/>
        <v>(7531,</v>
      </c>
      <c r="H427" t="str">
        <f t="shared" si="45"/>
        <v>49,</v>
      </c>
      <c r="I427" t="str">
        <f t="shared" si="46"/>
        <v>'AMZN',</v>
      </c>
      <c r="J427" t="str">
        <f t="shared" si="47"/>
        <v>699.36,</v>
      </c>
      <c r="K427" t="str">
        <f t="shared" si="48"/>
        <v>'BUY',</v>
      </c>
      <c r="L427" t="str">
        <f t="shared" si="49"/>
        <v>'2024-02-12 07:18:00'),</v>
      </c>
      <c r="M427" t="str">
        <f t="shared" si="50"/>
        <v>(7531,49,'AMZN',699.36,'BUY','2024-02-12 07:18:00'),</v>
      </c>
    </row>
    <row r="428" spans="1:13" x14ac:dyDescent="0.2">
      <c r="A428">
        <v>4168</v>
      </c>
      <c r="B428">
        <v>176</v>
      </c>
      <c r="C428" t="s">
        <v>1069</v>
      </c>
      <c r="D428" t="s">
        <v>1492</v>
      </c>
      <c r="E428" t="s">
        <v>1068</v>
      </c>
      <c r="F428" s="8" t="s">
        <v>2488</v>
      </c>
      <c r="G428" t="str">
        <f t="shared" si="44"/>
        <v>(4168,</v>
      </c>
      <c r="H428" t="str">
        <f t="shared" si="45"/>
        <v>176,</v>
      </c>
      <c r="I428" t="str">
        <f t="shared" si="46"/>
        <v>'MSFT',</v>
      </c>
      <c r="J428" t="str">
        <f t="shared" si="47"/>
        <v>487.66,</v>
      </c>
      <c r="K428" t="str">
        <f t="shared" si="48"/>
        <v>'BUY',</v>
      </c>
      <c r="L428" t="str">
        <f t="shared" si="49"/>
        <v>'2024-03-07 05:13:00'),</v>
      </c>
      <c r="M428" t="str">
        <f t="shared" si="50"/>
        <v>(4168,176,'MSFT',487.66,'BUY','2024-03-07 05:13:00'),</v>
      </c>
    </row>
    <row r="429" spans="1:13" x14ac:dyDescent="0.2">
      <c r="A429">
        <v>5297</v>
      </c>
      <c r="B429">
        <v>671</v>
      </c>
      <c r="C429" t="s">
        <v>1066</v>
      </c>
      <c r="D429" t="s">
        <v>1493</v>
      </c>
      <c r="E429" t="s">
        <v>1068</v>
      </c>
      <c r="F429" s="8" t="s">
        <v>2489</v>
      </c>
      <c r="G429" t="str">
        <f t="shared" si="44"/>
        <v>(5297,</v>
      </c>
      <c r="H429" t="str">
        <f t="shared" si="45"/>
        <v>671,</v>
      </c>
      <c r="I429" t="str">
        <f t="shared" si="46"/>
        <v>'AMZN',</v>
      </c>
      <c r="J429" t="str">
        <f t="shared" si="47"/>
        <v>736.0,</v>
      </c>
      <c r="K429" t="str">
        <f t="shared" si="48"/>
        <v>'BUY',</v>
      </c>
      <c r="L429" t="str">
        <f t="shared" si="49"/>
        <v>'2024-03-29 15:56:00'),</v>
      </c>
      <c r="M429" t="str">
        <f t="shared" si="50"/>
        <v>(5297,671,'AMZN',736.0,'BUY','2024-03-29 15:56:00'),</v>
      </c>
    </row>
    <row r="430" spans="1:13" x14ac:dyDescent="0.2">
      <c r="A430">
        <v>6298</v>
      </c>
      <c r="B430">
        <v>139</v>
      </c>
      <c r="C430" t="s">
        <v>1060</v>
      </c>
      <c r="D430" t="s">
        <v>1494</v>
      </c>
      <c r="E430" t="s">
        <v>1062</v>
      </c>
      <c r="F430" s="8" t="s">
        <v>2490</v>
      </c>
      <c r="G430" t="str">
        <f t="shared" si="44"/>
        <v>(6298,</v>
      </c>
      <c r="H430" t="str">
        <f t="shared" si="45"/>
        <v>139,</v>
      </c>
      <c r="I430" t="str">
        <f t="shared" si="46"/>
        <v>'TSLA',</v>
      </c>
      <c r="J430" t="str">
        <f t="shared" si="47"/>
        <v>403.69,</v>
      </c>
      <c r="K430" t="str">
        <f t="shared" si="48"/>
        <v>'SELL',</v>
      </c>
      <c r="L430" t="str">
        <f t="shared" si="49"/>
        <v>'2024-01-20 02:55:00'),</v>
      </c>
      <c r="M430" t="str">
        <f t="shared" si="50"/>
        <v>(6298,139,'TSLA',403.69,'SELL','2024-01-20 02:55:00'),</v>
      </c>
    </row>
    <row r="431" spans="1:13" x14ac:dyDescent="0.2">
      <c r="A431">
        <v>4669</v>
      </c>
      <c r="B431">
        <v>928</v>
      </c>
      <c r="C431" t="s">
        <v>1069</v>
      </c>
      <c r="D431" t="s">
        <v>1495</v>
      </c>
      <c r="E431" t="s">
        <v>1062</v>
      </c>
      <c r="F431" s="8" t="s">
        <v>2491</v>
      </c>
      <c r="G431" t="str">
        <f t="shared" si="44"/>
        <v>(4669,</v>
      </c>
      <c r="H431" t="str">
        <f t="shared" si="45"/>
        <v>928,</v>
      </c>
      <c r="I431" t="str">
        <f t="shared" si="46"/>
        <v>'MSFT',</v>
      </c>
      <c r="J431" t="str">
        <f t="shared" si="47"/>
        <v>393.64,</v>
      </c>
      <c r="K431" t="str">
        <f t="shared" si="48"/>
        <v>'SELL',</v>
      </c>
      <c r="L431" t="str">
        <f t="shared" si="49"/>
        <v>'2024-03-28 18:12:00'),</v>
      </c>
      <c r="M431" t="str">
        <f t="shared" si="50"/>
        <v>(4669,928,'MSFT',393.64,'SELL','2024-03-28 18:12:00'),</v>
      </c>
    </row>
    <row r="432" spans="1:13" x14ac:dyDescent="0.2">
      <c r="A432">
        <v>7531</v>
      </c>
      <c r="B432">
        <v>750</v>
      </c>
      <c r="C432" t="s">
        <v>1060</v>
      </c>
      <c r="D432" t="s">
        <v>1496</v>
      </c>
      <c r="E432" t="s">
        <v>1062</v>
      </c>
      <c r="F432" s="8" t="s">
        <v>2492</v>
      </c>
      <c r="G432" t="str">
        <f t="shared" si="44"/>
        <v>(7531,</v>
      </c>
      <c r="H432" t="str">
        <f t="shared" si="45"/>
        <v>750,</v>
      </c>
      <c r="I432" t="str">
        <f t="shared" si="46"/>
        <v>'TSLA',</v>
      </c>
      <c r="J432" t="str">
        <f t="shared" si="47"/>
        <v>143.25,</v>
      </c>
      <c r="K432" t="str">
        <f t="shared" si="48"/>
        <v>'SELL',</v>
      </c>
      <c r="L432" t="str">
        <f t="shared" si="49"/>
        <v>'2024-04-13 22:41:00'),</v>
      </c>
      <c r="M432" t="str">
        <f t="shared" si="50"/>
        <v>(7531,750,'TSLA',143.25,'SELL','2024-04-13 22:41:00'),</v>
      </c>
    </row>
    <row r="433" spans="1:13" x14ac:dyDescent="0.2">
      <c r="A433">
        <v>7938</v>
      </c>
      <c r="B433">
        <v>378</v>
      </c>
      <c r="C433" t="s">
        <v>1069</v>
      </c>
      <c r="D433" t="s">
        <v>1497</v>
      </c>
      <c r="E433" t="s">
        <v>1062</v>
      </c>
      <c r="F433" s="8" t="s">
        <v>2493</v>
      </c>
      <c r="G433" t="str">
        <f t="shared" si="44"/>
        <v>(7938,</v>
      </c>
      <c r="H433" t="str">
        <f t="shared" si="45"/>
        <v>378,</v>
      </c>
      <c r="I433" t="str">
        <f t="shared" si="46"/>
        <v>'MSFT',</v>
      </c>
      <c r="J433" t="str">
        <f t="shared" si="47"/>
        <v>683.57,</v>
      </c>
      <c r="K433" t="str">
        <f t="shared" si="48"/>
        <v>'SELL',</v>
      </c>
      <c r="L433" t="str">
        <f t="shared" si="49"/>
        <v>'2024-01-07 02:06:00'),</v>
      </c>
      <c r="M433" t="str">
        <f t="shared" si="50"/>
        <v>(7938,378,'MSFT',683.57,'SELL','2024-01-07 02:06:00'),</v>
      </c>
    </row>
    <row r="434" spans="1:13" x14ac:dyDescent="0.2">
      <c r="A434">
        <v>4168</v>
      </c>
      <c r="B434">
        <v>59</v>
      </c>
      <c r="C434" t="s">
        <v>1063</v>
      </c>
      <c r="D434" t="s">
        <v>1498</v>
      </c>
      <c r="E434" t="s">
        <v>1062</v>
      </c>
      <c r="F434" s="8" t="s">
        <v>2494</v>
      </c>
      <c r="G434" t="str">
        <f t="shared" si="44"/>
        <v>(4168,</v>
      </c>
      <c r="H434" t="str">
        <f t="shared" si="45"/>
        <v>59,</v>
      </c>
      <c r="I434" t="str">
        <f t="shared" si="46"/>
        <v>'META',</v>
      </c>
      <c r="J434" t="str">
        <f t="shared" si="47"/>
        <v>924.77,</v>
      </c>
      <c r="K434" t="str">
        <f t="shared" si="48"/>
        <v>'SELL',</v>
      </c>
      <c r="L434" t="str">
        <f t="shared" si="49"/>
        <v>'2024-01-18 18:49:00'),</v>
      </c>
      <c r="M434" t="str">
        <f t="shared" si="50"/>
        <v>(4168,59,'META',924.77,'SELL','2024-01-18 18:49:00'),</v>
      </c>
    </row>
    <row r="435" spans="1:13" x14ac:dyDescent="0.2">
      <c r="A435">
        <v>5297</v>
      </c>
      <c r="B435">
        <v>341</v>
      </c>
      <c r="C435" t="s">
        <v>1063</v>
      </c>
      <c r="D435" t="s">
        <v>1499</v>
      </c>
      <c r="E435" t="s">
        <v>1068</v>
      </c>
      <c r="F435" s="8" t="s">
        <v>2495</v>
      </c>
      <c r="G435" t="str">
        <f t="shared" si="44"/>
        <v>(5297,</v>
      </c>
      <c r="H435" t="str">
        <f t="shared" si="45"/>
        <v>341,</v>
      </c>
      <c r="I435" t="str">
        <f t="shared" si="46"/>
        <v>'META',</v>
      </c>
      <c r="J435" t="str">
        <f t="shared" si="47"/>
        <v>879.55,</v>
      </c>
      <c r="K435" t="str">
        <f t="shared" si="48"/>
        <v>'BUY',</v>
      </c>
      <c r="L435" t="str">
        <f t="shared" si="49"/>
        <v>'2024-05-28 12:45:00'),</v>
      </c>
      <c r="M435" t="str">
        <f t="shared" si="50"/>
        <v>(5297,341,'META',879.55,'BUY','2024-05-28 12:45:00'),</v>
      </c>
    </row>
    <row r="436" spans="1:13" x14ac:dyDescent="0.2">
      <c r="A436">
        <v>7938</v>
      </c>
      <c r="B436">
        <v>833</v>
      </c>
      <c r="C436" t="s">
        <v>1063</v>
      </c>
      <c r="D436" t="s">
        <v>1500</v>
      </c>
      <c r="E436" t="s">
        <v>1068</v>
      </c>
      <c r="F436" s="8" t="s">
        <v>2496</v>
      </c>
      <c r="G436" t="str">
        <f t="shared" si="44"/>
        <v>(7938,</v>
      </c>
      <c r="H436" t="str">
        <f t="shared" si="45"/>
        <v>833,</v>
      </c>
      <c r="I436" t="str">
        <f t="shared" si="46"/>
        <v>'META',</v>
      </c>
      <c r="J436" t="str">
        <f t="shared" si="47"/>
        <v>821.3,</v>
      </c>
      <c r="K436" t="str">
        <f t="shared" si="48"/>
        <v>'BUY',</v>
      </c>
      <c r="L436" t="str">
        <f t="shared" si="49"/>
        <v>'2024-05-12 13:59:00'),</v>
      </c>
      <c r="M436" t="str">
        <f t="shared" si="50"/>
        <v>(7938,833,'META',821.3,'BUY','2024-05-12 13:59:00'),</v>
      </c>
    </row>
    <row r="437" spans="1:13" x14ac:dyDescent="0.2">
      <c r="A437">
        <v>7531</v>
      </c>
      <c r="B437">
        <v>572</v>
      </c>
      <c r="C437" t="s">
        <v>1069</v>
      </c>
      <c r="D437" t="s">
        <v>1501</v>
      </c>
      <c r="E437" t="s">
        <v>1062</v>
      </c>
      <c r="F437" s="8" t="s">
        <v>2497</v>
      </c>
      <c r="G437" t="str">
        <f t="shared" si="44"/>
        <v>(7531,</v>
      </c>
      <c r="H437" t="str">
        <f t="shared" si="45"/>
        <v>572,</v>
      </c>
      <c r="I437" t="str">
        <f t="shared" si="46"/>
        <v>'MSFT',</v>
      </c>
      <c r="J437" t="str">
        <f t="shared" si="47"/>
        <v>496.52,</v>
      </c>
      <c r="K437" t="str">
        <f t="shared" si="48"/>
        <v>'SELL',</v>
      </c>
      <c r="L437" t="str">
        <f t="shared" si="49"/>
        <v>'2024-04-07 20:24:00'),</v>
      </c>
      <c r="M437" t="str">
        <f t="shared" si="50"/>
        <v>(7531,572,'MSFT',496.52,'SELL','2024-04-07 20:24:00'),</v>
      </c>
    </row>
    <row r="438" spans="1:13" x14ac:dyDescent="0.2">
      <c r="A438">
        <v>1691</v>
      </c>
      <c r="B438">
        <v>674</v>
      </c>
      <c r="C438" t="s">
        <v>1066</v>
      </c>
      <c r="D438" t="s">
        <v>1502</v>
      </c>
      <c r="E438" t="s">
        <v>1068</v>
      </c>
      <c r="F438" s="8" t="s">
        <v>2498</v>
      </c>
      <c r="G438" t="str">
        <f t="shared" si="44"/>
        <v>(1691,</v>
      </c>
      <c r="H438" t="str">
        <f t="shared" si="45"/>
        <v>674,</v>
      </c>
      <c r="I438" t="str">
        <f t="shared" si="46"/>
        <v>'AMZN',</v>
      </c>
      <c r="J438" t="str">
        <f t="shared" si="47"/>
        <v>523.07,</v>
      </c>
      <c r="K438" t="str">
        <f t="shared" si="48"/>
        <v>'BUY',</v>
      </c>
      <c r="L438" t="str">
        <f t="shared" si="49"/>
        <v>'2024-02-22 15:20:00'),</v>
      </c>
      <c r="M438" t="str">
        <f t="shared" si="50"/>
        <v>(1691,674,'AMZN',523.07,'BUY','2024-02-22 15:20:00'),</v>
      </c>
    </row>
    <row r="439" spans="1:13" x14ac:dyDescent="0.2">
      <c r="A439">
        <v>5705</v>
      </c>
      <c r="B439">
        <v>557</v>
      </c>
      <c r="C439" t="s">
        <v>1063</v>
      </c>
      <c r="D439" t="s">
        <v>1503</v>
      </c>
      <c r="E439" t="s">
        <v>1062</v>
      </c>
      <c r="F439" s="8" t="s">
        <v>2499</v>
      </c>
      <c r="G439" t="str">
        <f t="shared" si="44"/>
        <v>(5705,</v>
      </c>
      <c r="H439" t="str">
        <f t="shared" si="45"/>
        <v>557,</v>
      </c>
      <c r="I439" t="str">
        <f t="shared" si="46"/>
        <v>'META',</v>
      </c>
      <c r="J439" t="str">
        <f t="shared" si="47"/>
        <v>791.59,</v>
      </c>
      <c r="K439" t="str">
        <f t="shared" si="48"/>
        <v>'SELL',</v>
      </c>
      <c r="L439" t="str">
        <f t="shared" si="49"/>
        <v>'2024-05-05 09:00:00'),</v>
      </c>
      <c r="M439" t="str">
        <f t="shared" si="50"/>
        <v>(5705,557,'META',791.59,'SELL','2024-05-05 09:00:00'),</v>
      </c>
    </row>
    <row r="440" spans="1:13" x14ac:dyDescent="0.2">
      <c r="A440">
        <v>7938</v>
      </c>
      <c r="B440">
        <v>585</v>
      </c>
      <c r="C440" t="s">
        <v>1066</v>
      </c>
      <c r="D440" t="s">
        <v>1504</v>
      </c>
      <c r="E440" t="s">
        <v>1068</v>
      </c>
      <c r="F440" s="8" t="s">
        <v>2500</v>
      </c>
      <c r="G440" t="str">
        <f t="shared" si="44"/>
        <v>(7938,</v>
      </c>
      <c r="H440" t="str">
        <f t="shared" si="45"/>
        <v>585,</v>
      </c>
      <c r="I440" t="str">
        <f t="shared" si="46"/>
        <v>'AMZN',</v>
      </c>
      <c r="J440" t="str">
        <f t="shared" si="47"/>
        <v>708.69,</v>
      </c>
      <c r="K440" t="str">
        <f t="shared" si="48"/>
        <v>'BUY',</v>
      </c>
      <c r="L440" t="str">
        <f t="shared" si="49"/>
        <v>'2024-04-06 12:43:00'),</v>
      </c>
      <c r="M440" t="str">
        <f t="shared" si="50"/>
        <v>(7938,585,'AMZN',708.69,'BUY','2024-04-06 12:43:00'),</v>
      </c>
    </row>
    <row r="441" spans="1:13" x14ac:dyDescent="0.2">
      <c r="A441">
        <v>1691</v>
      </c>
      <c r="B441">
        <v>706</v>
      </c>
      <c r="C441" t="s">
        <v>1066</v>
      </c>
      <c r="D441" t="s">
        <v>1505</v>
      </c>
      <c r="E441" t="s">
        <v>1062</v>
      </c>
      <c r="F441" s="8" t="s">
        <v>2501</v>
      </c>
      <c r="G441" t="str">
        <f t="shared" si="44"/>
        <v>(1691,</v>
      </c>
      <c r="H441" t="str">
        <f t="shared" si="45"/>
        <v>706,</v>
      </c>
      <c r="I441" t="str">
        <f t="shared" si="46"/>
        <v>'AMZN',</v>
      </c>
      <c r="J441" t="str">
        <f t="shared" si="47"/>
        <v>301.44,</v>
      </c>
      <c r="K441" t="str">
        <f t="shared" si="48"/>
        <v>'SELL',</v>
      </c>
      <c r="L441" t="str">
        <f t="shared" si="49"/>
        <v>'2024-03-28 21:00:00'),</v>
      </c>
      <c r="M441" t="str">
        <f t="shared" si="50"/>
        <v>(1691,706,'AMZN',301.44,'SELL','2024-03-28 21:00:00'),</v>
      </c>
    </row>
    <row r="442" spans="1:13" x14ac:dyDescent="0.2">
      <c r="A442">
        <v>5751</v>
      </c>
      <c r="B442">
        <v>217</v>
      </c>
      <c r="C442" t="s">
        <v>1063</v>
      </c>
      <c r="D442" t="s">
        <v>1506</v>
      </c>
      <c r="E442" t="s">
        <v>1068</v>
      </c>
      <c r="F442" s="8" t="s">
        <v>2502</v>
      </c>
      <c r="G442" t="str">
        <f t="shared" si="44"/>
        <v>(5751,</v>
      </c>
      <c r="H442" t="str">
        <f t="shared" si="45"/>
        <v>217,</v>
      </c>
      <c r="I442" t="str">
        <f t="shared" si="46"/>
        <v>'META',</v>
      </c>
      <c r="J442" t="str">
        <f t="shared" si="47"/>
        <v>233.85,</v>
      </c>
      <c r="K442" t="str">
        <f t="shared" si="48"/>
        <v>'BUY',</v>
      </c>
      <c r="L442" t="str">
        <f t="shared" si="49"/>
        <v>'2024-05-23 14:20:00'),</v>
      </c>
      <c r="M442" t="str">
        <f t="shared" si="50"/>
        <v>(5751,217,'META',233.85,'BUY','2024-05-23 14:20:00'),</v>
      </c>
    </row>
    <row r="443" spans="1:13" x14ac:dyDescent="0.2">
      <c r="A443">
        <v>5297</v>
      </c>
      <c r="B443">
        <v>503</v>
      </c>
      <c r="C443" t="s">
        <v>1060</v>
      </c>
      <c r="D443" t="s">
        <v>1507</v>
      </c>
      <c r="E443" t="s">
        <v>1068</v>
      </c>
      <c r="F443" s="8" t="s">
        <v>2503</v>
      </c>
      <c r="G443" t="str">
        <f t="shared" si="44"/>
        <v>(5297,</v>
      </c>
      <c r="H443" t="str">
        <f t="shared" si="45"/>
        <v>503,</v>
      </c>
      <c r="I443" t="str">
        <f t="shared" si="46"/>
        <v>'TSLA',</v>
      </c>
      <c r="J443" t="str">
        <f t="shared" si="47"/>
        <v>397.63,</v>
      </c>
      <c r="K443" t="str">
        <f t="shared" si="48"/>
        <v>'BUY',</v>
      </c>
      <c r="L443" t="str">
        <f t="shared" si="49"/>
        <v>'2024-02-13 18:36:00'),</v>
      </c>
      <c r="M443" t="str">
        <f t="shared" si="50"/>
        <v>(5297,503,'TSLA',397.63,'BUY','2024-02-13 18:36:00'),</v>
      </c>
    </row>
    <row r="444" spans="1:13" x14ac:dyDescent="0.2">
      <c r="A444">
        <v>5751</v>
      </c>
      <c r="B444">
        <v>205</v>
      </c>
      <c r="C444" t="s">
        <v>1069</v>
      </c>
      <c r="D444" t="s">
        <v>1508</v>
      </c>
      <c r="E444" t="s">
        <v>1068</v>
      </c>
      <c r="F444" s="8" t="s">
        <v>2504</v>
      </c>
      <c r="G444" t="str">
        <f t="shared" si="44"/>
        <v>(5751,</v>
      </c>
      <c r="H444" t="str">
        <f t="shared" si="45"/>
        <v>205,</v>
      </c>
      <c r="I444" t="str">
        <f t="shared" si="46"/>
        <v>'MSFT',</v>
      </c>
      <c r="J444" t="str">
        <f t="shared" si="47"/>
        <v>389.29,</v>
      </c>
      <c r="K444" t="str">
        <f t="shared" si="48"/>
        <v>'BUY',</v>
      </c>
      <c r="L444" t="str">
        <f t="shared" si="49"/>
        <v>'2024-01-03 01:20:00'),</v>
      </c>
      <c r="M444" t="str">
        <f t="shared" si="50"/>
        <v>(5751,205,'MSFT',389.29,'BUY','2024-01-03 01:20:00'),</v>
      </c>
    </row>
    <row r="445" spans="1:13" x14ac:dyDescent="0.2">
      <c r="A445">
        <v>5751</v>
      </c>
      <c r="B445">
        <v>105</v>
      </c>
      <c r="C445" t="s">
        <v>1066</v>
      </c>
      <c r="D445" t="s">
        <v>1509</v>
      </c>
      <c r="E445" t="s">
        <v>1062</v>
      </c>
      <c r="F445" s="8" t="s">
        <v>2505</v>
      </c>
      <c r="G445" t="str">
        <f t="shared" si="44"/>
        <v>(5751,</v>
      </c>
      <c r="H445" t="str">
        <f t="shared" si="45"/>
        <v>105,</v>
      </c>
      <c r="I445" t="str">
        <f t="shared" si="46"/>
        <v>'AMZN',</v>
      </c>
      <c r="J445" t="str">
        <f t="shared" si="47"/>
        <v>275.41,</v>
      </c>
      <c r="K445" t="str">
        <f t="shared" si="48"/>
        <v>'SELL',</v>
      </c>
      <c r="L445" t="str">
        <f t="shared" si="49"/>
        <v>'2024-04-03 05:04:00'),</v>
      </c>
      <c r="M445" t="str">
        <f t="shared" si="50"/>
        <v>(5751,105,'AMZN',275.41,'SELL','2024-04-03 05:04:00'),</v>
      </c>
    </row>
    <row r="446" spans="1:13" x14ac:dyDescent="0.2">
      <c r="A446">
        <v>5751</v>
      </c>
      <c r="B446">
        <v>401</v>
      </c>
      <c r="C446" t="s">
        <v>1063</v>
      </c>
      <c r="D446" t="s">
        <v>1510</v>
      </c>
      <c r="E446" t="s">
        <v>1062</v>
      </c>
      <c r="F446" s="8" t="s">
        <v>2506</v>
      </c>
      <c r="G446" t="str">
        <f t="shared" si="44"/>
        <v>(5751,</v>
      </c>
      <c r="H446" t="str">
        <f t="shared" si="45"/>
        <v>401,</v>
      </c>
      <c r="I446" t="str">
        <f t="shared" si="46"/>
        <v>'META',</v>
      </c>
      <c r="J446" t="str">
        <f t="shared" si="47"/>
        <v>692.03,</v>
      </c>
      <c r="K446" t="str">
        <f t="shared" si="48"/>
        <v>'SELL',</v>
      </c>
      <c r="L446" t="str">
        <f t="shared" si="49"/>
        <v>'2024-01-10 05:22:00'),</v>
      </c>
      <c r="M446" t="str">
        <f t="shared" si="50"/>
        <v>(5751,401,'META',692.03,'SELL','2024-01-10 05:22:00'),</v>
      </c>
    </row>
    <row r="447" spans="1:13" x14ac:dyDescent="0.2">
      <c r="A447">
        <v>5751</v>
      </c>
      <c r="B447">
        <v>769</v>
      </c>
      <c r="C447" t="s">
        <v>1069</v>
      </c>
      <c r="D447" t="s">
        <v>1511</v>
      </c>
      <c r="E447" t="s">
        <v>1068</v>
      </c>
      <c r="F447" s="8" t="s">
        <v>2507</v>
      </c>
      <c r="G447" t="str">
        <f t="shared" si="44"/>
        <v>(5751,</v>
      </c>
      <c r="H447" t="str">
        <f t="shared" si="45"/>
        <v>769,</v>
      </c>
      <c r="I447" t="str">
        <f t="shared" si="46"/>
        <v>'MSFT',</v>
      </c>
      <c r="J447" t="str">
        <f t="shared" si="47"/>
        <v>989.49,</v>
      </c>
      <c r="K447" t="str">
        <f t="shared" si="48"/>
        <v>'BUY',</v>
      </c>
      <c r="L447" t="str">
        <f t="shared" si="49"/>
        <v>'2024-04-16 14:27:00'),</v>
      </c>
      <c r="M447" t="str">
        <f t="shared" si="50"/>
        <v>(5751,769,'MSFT',989.49,'BUY','2024-04-16 14:27:00'),</v>
      </c>
    </row>
    <row r="448" spans="1:13" x14ac:dyDescent="0.2">
      <c r="A448">
        <v>4168</v>
      </c>
      <c r="B448">
        <v>667</v>
      </c>
      <c r="C448" t="s">
        <v>1069</v>
      </c>
      <c r="D448" t="s">
        <v>1512</v>
      </c>
      <c r="E448" t="s">
        <v>1062</v>
      </c>
      <c r="F448" s="8" t="s">
        <v>2508</v>
      </c>
      <c r="G448" t="str">
        <f t="shared" si="44"/>
        <v>(4168,</v>
      </c>
      <c r="H448" t="str">
        <f t="shared" si="45"/>
        <v>667,</v>
      </c>
      <c r="I448" t="str">
        <f t="shared" si="46"/>
        <v>'MSFT',</v>
      </c>
      <c r="J448" t="str">
        <f t="shared" si="47"/>
        <v>861.71,</v>
      </c>
      <c r="K448" t="str">
        <f t="shared" si="48"/>
        <v>'SELL',</v>
      </c>
      <c r="L448" t="str">
        <f t="shared" si="49"/>
        <v>'2024-01-10 03:12:00'),</v>
      </c>
      <c r="M448" t="str">
        <f t="shared" si="50"/>
        <v>(4168,667,'MSFT',861.71,'SELL','2024-01-10 03:12:00'),</v>
      </c>
    </row>
    <row r="449" spans="1:13" x14ac:dyDescent="0.2">
      <c r="A449">
        <v>1691</v>
      </c>
      <c r="B449">
        <v>934</v>
      </c>
      <c r="C449" t="s">
        <v>1066</v>
      </c>
      <c r="D449" t="s">
        <v>1513</v>
      </c>
      <c r="E449" t="s">
        <v>1062</v>
      </c>
      <c r="F449" s="8" t="s">
        <v>2509</v>
      </c>
      <c r="G449" t="str">
        <f t="shared" si="44"/>
        <v>(1691,</v>
      </c>
      <c r="H449" t="str">
        <f t="shared" si="45"/>
        <v>934,</v>
      </c>
      <c r="I449" t="str">
        <f t="shared" si="46"/>
        <v>'AMZN',</v>
      </c>
      <c r="J449" t="str">
        <f t="shared" si="47"/>
        <v>142.59,</v>
      </c>
      <c r="K449" t="str">
        <f t="shared" si="48"/>
        <v>'SELL',</v>
      </c>
      <c r="L449" t="str">
        <f t="shared" si="49"/>
        <v>'2024-01-09 02:19:00'),</v>
      </c>
      <c r="M449" t="str">
        <f t="shared" si="50"/>
        <v>(1691,934,'AMZN',142.59,'SELL','2024-01-09 02:19:00'),</v>
      </c>
    </row>
    <row r="450" spans="1:13" x14ac:dyDescent="0.2">
      <c r="A450">
        <v>1691</v>
      </c>
      <c r="B450">
        <v>269</v>
      </c>
      <c r="C450" t="s">
        <v>1066</v>
      </c>
      <c r="D450" t="s">
        <v>1514</v>
      </c>
      <c r="E450" t="s">
        <v>1068</v>
      </c>
      <c r="F450" s="8" t="s">
        <v>2510</v>
      </c>
      <c r="G450" t="str">
        <f t="shared" si="44"/>
        <v>(1691,</v>
      </c>
      <c r="H450" t="str">
        <f t="shared" si="45"/>
        <v>269,</v>
      </c>
      <c r="I450" t="str">
        <f t="shared" si="46"/>
        <v>'AMZN',</v>
      </c>
      <c r="J450" t="str">
        <f t="shared" si="47"/>
        <v>815.91,</v>
      </c>
      <c r="K450" t="str">
        <f t="shared" si="48"/>
        <v>'BUY',</v>
      </c>
      <c r="L450" t="str">
        <f t="shared" si="49"/>
        <v>'2024-03-26 23:20:00'),</v>
      </c>
      <c r="M450" t="str">
        <f t="shared" si="50"/>
        <v>(1691,269,'AMZN',815.91,'BUY','2024-03-26 23:20:00'),</v>
      </c>
    </row>
    <row r="451" spans="1:13" x14ac:dyDescent="0.2">
      <c r="A451">
        <v>7938</v>
      </c>
      <c r="B451">
        <v>367</v>
      </c>
      <c r="C451" t="s">
        <v>1060</v>
      </c>
      <c r="D451" t="s">
        <v>1515</v>
      </c>
      <c r="E451" t="s">
        <v>1062</v>
      </c>
      <c r="F451" s="8" t="s">
        <v>2511</v>
      </c>
      <c r="G451" t="str">
        <f t="shared" ref="G451:G514" si="51">"("&amp;A451&amp;","</f>
        <v>(7938,</v>
      </c>
      <c r="H451" t="str">
        <f t="shared" ref="H451:H514" si="52">B451&amp;","</f>
        <v>367,</v>
      </c>
      <c r="I451" t="str">
        <f t="shared" ref="I451:I514" si="53">"'"&amp;C451&amp;"',"</f>
        <v>'TSLA',</v>
      </c>
      <c r="J451" t="str">
        <f t="shared" ref="J451:J514" si="54">D451&amp;","</f>
        <v>847.97,</v>
      </c>
      <c r="K451" t="str">
        <f t="shared" ref="K451:K514" si="55">"'"&amp;E451&amp;"',"</f>
        <v>'SELL',</v>
      </c>
      <c r="L451" t="str">
        <f t="shared" ref="L451:L514" si="56">"'"&amp;F451&amp;"'),"</f>
        <v>'2024-05-12 09:46:00'),</v>
      </c>
      <c r="M451" t="str">
        <f t="shared" ref="M451:M514" si="57">G451&amp;H451&amp;I451&amp;J451&amp;K451&amp;L451</f>
        <v>(7938,367,'TSLA',847.97,'SELL','2024-05-12 09:46:00'),</v>
      </c>
    </row>
    <row r="452" spans="1:13" x14ac:dyDescent="0.2">
      <c r="A452">
        <v>5297</v>
      </c>
      <c r="B452">
        <v>62</v>
      </c>
      <c r="C452" t="s">
        <v>1063</v>
      </c>
      <c r="D452" t="s">
        <v>1516</v>
      </c>
      <c r="E452" t="s">
        <v>1068</v>
      </c>
      <c r="F452" s="8" t="s">
        <v>2512</v>
      </c>
      <c r="G452" t="str">
        <f t="shared" si="51"/>
        <v>(5297,</v>
      </c>
      <c r="H452" t="str">
        <f t="shared" si="52"/>
        <v>62,</v>
      </c>
      <c r="I452" t="str">
        <f t="shared" si="53"/>
        <v>'META',</v>
      </c>
      <c r="J452" t="str">
        <f t="shared" si="54"/>
        <v>510.15,</v>
      </c>
      <c r="K452" t="str">
        <f t="shared" si="55"/>
        <v>'BUY',</v>
      </c>
      <c r="L452" t="str">
        <f t="shared" si="56"/>
        <v>'2024-01-01 20:26:00'),</v>
      </c>
      <c r="M452" t="str">
        <f t="shared" si="57"/>
        <v>(5297,62,'META',510.15,'BUY','2024-01-01 20:26:00'),</v>
      </c>
    </row>
    <row r="453" spans="1:13" x14ac:dyDescent="0.2">
      <c r="A453">
        <v>1691</v>
      </c>
      <c r="B453">
        <v>144</v>
      </c>
      <c r="C453" t="s">
        <v>1060</v>
      </c>
      <c r="D453" t="s">
        <v>1517</v>
      </c>
      <c r="E453" t="s">
        <v>1068</v>
      </c>
      <c r="F453" s="8" t="s">
        <v>2513</v>
      </c>
      <c r="G453" t="str">
        <f t="shared" si="51"/>
        <v>(1691,</v>
      </c>
      <c r="H453" t="str">
        <f t="shared" si="52"/>
        <v>144,</v>
      </c>
      <c r="I453" t="str">
        <f t="shared" si="53"/>
        <v>'TSLA',</v>
      </c>
      <c r="J453" t="str">
        <f t="shared" si="54"/>
        <v>808.36,</v>
      </c>
      <c r="K453" t="str">
        <f t="shared" si="55"/>
        <v>'BUY',</v>
      </c>
      <c r="L453" t="str">
        <f t="shared" si="56"/>
        <v>'2024-05-14 18:16:00'),</v>
      </c>
      <c r="M453" t="str">
        <f t="shared" si="57"/>
        <v>(1691,144,'TSLA',808.36,'BUY','2024-05-14 18:16:00'),</v>
      </c>
    </row>
    <row r="454" spans="1:13" x14ac:dyDescent="0.2">
      <c r="A454">
        <v>9094</v>
      </c>
      <c r="B454">
        <v>301</v>
      </c>
      <c r="C454" t="s">
        <v>1066</v>
      </c>
      <c r="D454" t="s">
        <v>1518</v>
      </c>
      <c r="E454" t="s">
        <v>1062</v>
      </c>
      <c r="F454" s="8" t="s">
        <v>2514</v>
      </c>
      <c r="G454" t="str">
        <f t="shared" si="51"/>
        <v>(9094,</v>
      </c>
      <c r="H454" t="str">
        <f t="shared" si="52"/>
        <v>301,</v>
      </c>
      <c r="I454" t="str">
        <f t="shared" si="53"/>
        <v>'AMZN',</v>
      </c>
      <c r="J454" t="str">
        <f t="shared" si="54"/>
        <v>583.89,</v>
      </c>
      <c r="K454" t="str">
        <f t="shared" si="55"/>
        <v>'SELL',</v>
      </c>
      <c r="L454" t="str">
        <f t="shared" si="56"/>
        <v>'2024-05-18 16:15:00'),</v>
      </c>
      <c r="M454" t="str">
        <f t="shared" si="57"/>
        <v>(9094,301,'AMZN',583.89,'SELL','2024-05-18 16:15:00'),</v>
      </c>
    </row>
    <row r="455" spans="1:13" x14ac:dyDescent="0.2">
      <c r="A455">
        <v>4168</v>
      </c>
      <c r="B455">
        <v>997</v>
      </c>
      <c r="C455" t="s">
        <v>1060</v>
      </c>
      <c r="D455" t="s">
        <v>1519</v>
      </c>
      <c r="E455" t="s">
        <v>1068</v>
      </c>
      <c r="F455" s="8" t="s">
        <v>2515</v>
      </c>
      <c r="G455" t="str">
        <f t="shared" si="51"/>
        <v>(4168,</v>
      </c>
      <c r="H455" t="str">
        <f t="shared" si="52"/>
        <v>997,</v>
      </c>
      <c r="I455" t="str">
        <f t="shared" si="53"/>
        <v>'TSLA',</v>
      </c>
      <c r="J455" t="str">
        <f t="shared" si="54"/>
        <v>847.87,</v>
      </c>
      <c r="K455" t="str">
        <f t="shared" si="55"/>
        <v>'BUY',</v>
      </c>
      <c r="L455" t="str">
        <f t="shared" si="56"/>
        <v>'2024-02-05 03:51:00'),</v>
      </c>
      <c r="M455" t="str">
        <f t="shared" si="57"/>
        <v>(4168,997,'TSLA',847.87,'BUY','2024-02-05 03:51:00'),</v>
      </c>
    </row>
    <row r="456" spans="1:13" x14ac:dyDescent="0.2">
      <c r="A456">
        <v>5705</v>
      </c>
      <c r="B456">
        <v>3</v>
      </c>
      <c r="C456" t="s">
        <v>1060</v>
      </c>
      <c r="D456" t="s">
        <v>1520</v>
      </c>
      <c r="E456" t="s">
        <v>1062</v>
      </c>
      <c r="F456" s="8" t="s">
        <v>2516</v>
      </c>
      <c r="G456" t="str">
        <f t="shared" si="51"/>
        <v>(5705,</v>
      </c>
      <c r="H456" t="str">
        <f t="shared" si="52"/>
        <v>3,</v>
      </c>
      <c r="I456" t="str">
        <f t="shared" si="53"/>
        <v>'TSLA',</v>
      </c>
      <c r="J456" t="str">
        <f t="shared" si="54"/>
        <v>984.06,</v>
      </c>
      <c r="K456" t="str">
        <f t="shared" si="55"/>
        <v>'SELL',</v>
      </c>
      <c r="L456" t="str">
        <f t="shared" si="56"/>
        <v>'2024-05-28 13:50:00'),</v>
      </c>
      <c r="M456" t="str">
        <f t="shared" si="57"/>
        <v>(5705,3,'TSLA',984.06,'SELL','2024-05-28 13:50:00'),</v>
      </c>
    </row>
    <row r="457" spans="1:13" x14ac:dyDescent="0.2">
      <c r="A457">
        <v>7531</v>
      </c>
      <c r="B457">
        <v>321</v>
      </c>
      <c r="C457" t="s">
        <v>1063</v>
      </c>
      <c r="D457" t="s">
        <v>1521</v>
      </c>
      <c r="E457" t="s">
        <v>1068</v>
      </c>
      <c r="F457" s="8" t="s">
        <v>2517</v>
      </c>
      <c r="G457" t="str">
        <f t="shared" si="51"/>
        <v>(7531,</v>
      </c>
      <c r="H457" t="str">
        <f t="shared" si="52"/>
        <v>321,</v>
      </c>
      <c r="I457" t="str">
        <f t="shared" si="53"/>
        <v>'META',</v>
      </c>
      <c r="J457" t="str">
        <f t="shared" si="54"/>
        <v>505.4,</v>
      </c>
      <c r="K457" t="str">
        <f t="shared" si="55"/>
        <v>'BUY',</v>
      </c>
      <c r="L457" t="str">
        <f t="shared" si="56"/>
        <v>'2024-05-16 07:45:00'),</v>
      </c>
      <c r="M457" t="str">
        <f t="shared" si="57"/>
        <v>(7531,321,'META',505.4,'BUY','2024-05-16 07:45:00'),</v>
      </c>
    </row>
    <row r="458" spans="1:13" x14ac:dyDescent="0.2">
      <c r="A458">
        <v>2941</v>
      </c>
      <c r="B458">
        <v>782</v>
      </c>
      <c r="C458" t="s">
        <v>1060</v>
      </c>
      <c r="D458" t="s">
        <v>1522</v>
      </c>
      <c r="E458" t="s">
        <v>1062</v>
      </c>
      <c r="F458" s="8" t="s">
        <v>2518</v>
      </c>
      <c r="G458" t="str">
        <f t="shared" si="51"/>
        <v>(2941,</v>
      </c>
      <c r="H458" t="str">
        <f t="shared" si="52"/>
        <v>782,</v>
      </c>
      <c r="I458" t="str">
        <f t="shared" si="53"/>
        <v>'TSLA',</v>
      </c>
      <c r="J458" t="str">
        <f t="shared" si="54"/>
        <v>313.22,</v>
      </c>
      <c r="K458" t="str">
        <f t="shared" si="55"/>
        <v>'SELL',</v>
      </c>
      <c r="L458" t="str">
        <f t="shared" si="56"/>
        <v>'2024-03-12 16:44:00'),</v>
      </c>
      <c r="M458" t="str">
        <f t="shared" si="57"/>
        <v>(2941,782,'TSLA',313.22,'SELL','2024-03-12 16:44:00'),</v>
      </c>
    </row>
    <row r="459" spans="1:13" x14ac:dyDescent="0.2">
      <c r="A459">
        <v>7531</v>
      </c>
      <c r="B459">
        <v>352</v>
      </c>
      <c r="C459" t="s">
        <v>1063</v>
      </c>
      <c r="D459" t="s">
        <v>1523</v>
      </c>
      <c r="E459" t="s">
        <v>1068</v>
      </c>
      <c r="F459" s="8" t="s">
        <v>2519</v>
      </c>
      <c r="G459" t="str">
        <f t="shared" si="51"/>
        <v>(7531,</v>
      </c>
      <c r="H459" t="str">
        <f t="shared" si="52"/>
        <v>352,</v>
      </c>
      <c r="I459" t="str">
        <f t="shared" si="53"/>
        <v>'META',</v>
      </c>
      <c r="J459" t="str">
        <f t="shared" si="54"/>
        <v>334.91,</v>
      </c>
      <c r="K459" t="str">
        <f t="shared" si="55"/>
        <v>'BUY',</v>
      </c>
      <c r="L459" t="str">
        <f t="shared" si="56"/>
        <v>'2024-01-03 12:52:00'),</v>
      </c>
      <c r="M459" t="str">
        <f t="shared" si="57"/>
        <v>(7531,352,'META',334.91,'BUY','2024-01-03 12:52:00'),</v>
      </c>
    </row>
    <row r="460" spans="1:13" x14ac:dyDescent="0.2">
      <c r="A460">
        <v>2941</v>
      </c>
      <c r="B460">
        <v>109</v>
      </c>
      <c r="C460" t="s">
        <v>1069</v>
      </c>
      <c r="D460" t="s">
        <v>1524</v>
      </c>
      <c r="E460" t="s">
        <v>1068</v>
      </c>
      <c r="F460" s="8" t="s">
        <v>2520</v>
      </c>
      <c r="G460" t="str">
        <f t="shared" si="51"/>
        <v>(2941,</v>
      </c>
      <c r="H460" t="str">
        <f t="shared" si="52"/>
        <v>109,</v>
      </c>
      <c r="I460" t="str">
        <f t="shared" si="53"/>
        <v>'MSFT',</v>
      </c>
      <c r="J460" t="str">
        <f t="shared" si="54"/>
        <v>735.68,</v>
      </c>
      <c r="K460" t="str">
        <f t="shared" si="55"/>
        <v>'BUY',</v>
      </c>
      <c r="L460" t="str">
        <f t="shared" si="56"/>
        <v>'2024-02-14 11:41:00'),</v>
      </c>
      <c r="M460" t="str">
        <f t="shared" si="57"/>
        <v>(2941,109,'MSFT',735.68,'BUY','2024-02-14 11:41:00'),</v>
      </c>
    </row>
    <row r="461" spans="1:13" x14ac:dyDescent="0.2">
      <c r="A461">
        <v>4168</v>
      </c>
      <c r="B461">
        <v>180</v>
      </c>
      <c r="C461" t="s">
        <v>1066</v>
      </c>
      <c r="D461" t="s">
        <v>1525</v>
      </c>
      <c r="E461" t="s">
        <v>1062</v>
      </c>
      <c r="F461" s="8" t="s">
        <v>2521</v>
      </c>
      <c r="G461" t="str">
        <f t="shared" si="51"/>
        <v>(4168,</v>
      </c>
      <c r="H461" t="str">
        <f t="shared" si="52"/>
        <v>180,</v>
      </c>
      <c r="I461" t="str">
        <f t="shared" si="53"/>
        <v>'AMZN',</v>
      </c>
      <c r="J461" t="str">
        <f t="shared" si="54"/>
        <v>958.35,</v>
      </c>
      <c r="K461" t="str">
        <f t="shared" si="55"/>
        <v>'SELL',</v>
      </c>
      <c r="L461" t="str">
        <f t="shared" si="56"/>
        <v>'2024-05-01 21:08:00'),</v>
      </c>
      <c r="M461" t="str">
        <f t="shared" si="57"/>
        <v>(4168,180,'AMZN',958.35,'SELL','2024-05-01 21:08:00'),</v>
      </c>
    </row>
    <row r="462" spans="1:13" x14ac:dyDescent="0.2">
      <c r="A462">
        <v>4710</v>
      </c>
      <c r="B462">
        <v>104</v>
      </c>
      <c r="C462" t="s">
        <v>1066</v>
      </c>
      <c r="D462" t="s">
        <v>1526</v>
      </c>
      <c r="E462" t="s">
        <v>1062</v>
      </c>
      <c r="F462" s="8" t="s">
        <v>2522</v>
      </c>
      <c r="G462" t="str">
        <f t="shared" si="51"/>
        <v>(4710,</v>
      </c>
      <c r="H462" t="str">
        <f t="shared" si="52"/>
        <v>104,</v>
      </c>
      <c r="I462" t="str">
        <f t="shared" si="53"/>
        <v>'AMZN',</v>
      </c>
      <c r="J462" t="str">
        <f t="shared" si="54"/>
        <v>812.97,</v>
      </c>
      <c r="K462" t="str">
        <f t="shared" si="55"/>
        <v>'SELL',</v>
      </c>
      <c r="L462" t="str">
        <f t="shared" si="56"/>
        <v>'2024-03-04 12:25:00'),</v>
      </c>
      <c r="M462" t="str">
        <f t="shared" si="57"/>
        <v>(4710,104,'AMZN',812.97,'SELL','2024-03-04 12:25:00'),</v>
      </c>
    </row>
    <row r="463" spans="1:13" x14ac:dyDescent="0.2">
      <c r="A463">
        <v>5297</v>
      </c>
      <c r="B463">
        <v>484</v>
      </c>
      <c r="C463" t="s">
        <v>1063</v>
      </c>
      <c r="D463" t="s">
        <v>1527</v>
      </c>
      <c r="E463" t="s">
        <v>1062</v>
      </c>
      <c r="F463" s="8" t="s">
        <v>2523</v>
      </c>
      <c r="G463" t="str">
        <f t="shared" si="51"/>
        <v>(5297,</v>
      </c>
      <c r="H463" t="str">
        <f t="shared" si="52"/>
        <v>484,</v>
      </c>
      <c r="I463" t="str">
        <f t="shared" si="53"/>
        <v>'META',</v>
      </c>
      <c r="J463" t="str">
        <f t="shared" si="54"/>
        <v>994.56,</v>
      </c>
      <c r="K463" t="str">
        <f t="shared" si="55"/>
        <v>'SELL',</v>
      </c>
      <c r="L463" t="str">
        <f t="shared" si="56"/>
        <v>'2024-01-25 05:14:00'),</v>
      </c>
      <c r="M463" t="str">
        <f t="shared" si="57"/>
        <v>(5297,484,'META',994.56,'SELL','2024-01-25 05:14:00'),</v>
      </c>
    </row>
    <row r="464" spans="1:13" x14ac:dyDescent="0.2">
      <c r="A464">
        <v>5751</v>
      </c>
      <c r="B464">
        <v>520</v>
      </c>
      <c r="C464" t="s">
        <v>1063</v>
      </c>
      <c r="D464" t="s">
        <v>1528</v>
      </c>
      <c r="E464" t="s">
        <v>1062</v>
      </c>
      <c r="F464" s="8" t="s">
        <v>2524</v>
      </c>
      <c r="G464" t="str">
        <f t="shared" si="51"/>
        <v>(5751,</v>
      </c>
      <c r="H464" t="str">
        <f t="shared" si="52"/>
        <v>520,</v>
      </c>
      <c r="I464" t="str">
        <f t="shared" si="53"/>
        <v>'META',</v>
      </c>
      <c r="J464" t="str">
        <f t="shared" si="54"/>
        <v>838.45,</v>
      </c>
      <c r="K464" t="str">
        <f t="shared" si="55"/>
        <v>'SELL',</v>
      </c>
      <c r="L464" t="str">
        <f t="shared" si="56"/>
        <v>'2024-02-14 02:51:00'),</v>
      </c>
      <c r="M464" t="str">
        <f t="shared" si="57"/>
        <v>(5751,520,'META',838.45,'SELL','2024-02-14 02:51:00'),</v>
      </c>
    </row>
    <row r="465" spans="1:13" x14ac:dyDescent="0.2">
      <c r="A465">
        <v>5751</v>
      </c>
      <c r="B465">
        <v>94</v>
      </c>
      <c r="C465" t="s">
        <v>1060</v>
      </c>
      <c r="D465" t="s">
        <v>1529</v>
      </c>
      <c r="E465" t="s">
        <v>1068</v>
      </c>
      <c r="F465" s="8" t="s">
        <v>2525</v>
      </c>
      <c r="G465" t="str">
        <f t="shared" si="51"/>
        <v>(5751,</v>
      </c>
      <c r="H465" t="str">
        <f t="shared" si="52"/>
        <v>94,</v>
      </c>
      <c r="I465" t="str">
        <f t="shared" si="53"/>
        <v>'TSLA',</v>
      </c>
      <c r="J465" t="str">
        <f t="shared" si="54"/>
        <v>447.36,</v>
      </c>
      <c r="K465" t="str">
        <f t="shared" si="55"/>
        <v>'BUY',</v>
      </c>
      <c r="L465" t="str">
        <f t="shared" si="56"/>
        <v>'2024-02-23 15:45:00'),</v>
      </c>
      <c r="M465" t="str">
        <f t="shared" si="57"/>
        <v>(5751,94,'TSLA',447.36,'BUY','2024-02-23 15:45:00'),</v>
      </c>
    </row>
    <row r="466" spans="1:13" x14ac:dyDescent="0.2">
      <c r="A466">
        <v>5751</v>
      </c>
      <c r="B466">
        <v>462</v>
      </c>
      <c r="C466" t="s">
        <v>1066</v>
      </c>
      <c r="D466" t="s">
        <v>1530</v>
      </c>
      <c r="E466" t="s">
        <v>1068</v>
      </c>
      <c r="F466" s="8" t="s">
        <v>2526</v>
      </c>
      <c r="G466" t="str">
        <f t="shared" si="51"/>
        <v>(5751,</v>
      </c>
      <c r="H466" t="str">
        <f t="shared" si="52"/>
        <v>462,</v>
      </c>
      <c r="I466" t="str">
        <f t="shared" si="53"/>
        <v>'AMZN',</v>
      </c>
      <c r="J466" t="str">
        <f t="shared" si="54"/>
        <v>609.03,</v>
      </c>
      <c r="K466" t="str">
        <f t="shared" si="55"/>
        <v>'BUY',</v>
      </c>
      <c r="L466" t="str">
        <f t="shared" si="56"/>
        <v>'2024-02-25 23:35:00'),</v>
      </c>
      <c r="M466" t="str">
        <f t="shared" si="57"/>
        <v>(5751,462,'AMZN',609.03,'BUY','2024-02-25 23:35:00'),</v>
      </c>
    </row>
    <row r="467" spans="1:13" x14ac:dyDescent="0.2">
      <c r="A467">
        <v>6298</v>
      </c>
      <c r="B467">
        <v>664</v>
      </c>
      <c r="C467" t="s">
        <v>1069</v>
      </c>
      <c r="D467" t="s">
        <v>1531</v>
      </c>
      <c r="E467" t="s">
        <v>1062</v>
      </c>
      <c r="F467" s="8" t="s">
        <v>2527</v>
      </c>
      <c r="G467" t="str">
        <f t="shared" si="51"/>
        <v>(6298,</v>
      </c>
      <c r="H467" t="str">
        <f t="shared" si="52"/>
        <v>664,</v>
      </c>
      <c r="I467" t="str">
        <f t="shared" si="53"/>
        <v>'MSFT',</v>
      </c>
      <c r="J467" t="str">
        <f t="shared" si="54"/>
        <v>635.19,</v>
      </c>
      <c r="K467" t="str">
        <f t="shared" si="55"/>
        <v>'SELL',</v>
      </c>
      <c r="L467" t="str">
        <f t="shared" si="56"/>
        <v>'2024-01-16 10:11:00'),</v>
      </c>
      <c r="M467" t="str">
        <f t="shared" si="57"/>
        <v>(6298,664,'MSFT',635.19,'SELL','2024-01-16 10:11:00'),</v>
      </c>
    </row>
    <row r="468" spans="1:13" x14ac:dyDescent="0.2">
      <c r="A468">
        <v>5258</v>
      </c>
      <c r="B468">
        <v>886</v>
      </c>
      <c r="C468" t="s">
        <v>1060</v>
      </c>
      <c r="D468" t="s">
        <v>1532</v>
      </c>
      <c r="E468" t="s">
        <v>1062</v>
      </c>
      <c r="F468" s="8" t="s">
        <v>2528</v>
      </c>
      <c r="G468" t="str">
        <f t="shared" si="51"/>
        <v>(5258,</v>
      </c>
      <c r="H468" t="str">
        <f t="shared" si="52"/>
        <v>886,</v>
      </c>
      <c r="I468" t="str">
        <f t="shared" si="53"/>
        <v>'TSLA',</v>
      </c>
      <c r="J468" t="str">
        <f t="shared" si="54"/>
        <v>888.96,</v>
      </c>
      <c r="K468" t="str">
        <f t="shared" si="55"/>
        <v>'SELL',</v>
      </c>
      <c r="L468" t="str">
        <f t="shared" si="56"/>
        <v>'2024-03-12 12:42:00'),</v>
      </c>
      <c r="M468" t="str">
        <f t="shared" si="57"/>
        <v>(5258,886,'TSLA',888.96,'SELL','2024-03-12 12:42:00'),</v>
      </c>
    </row>
    <row r="469" spans="1:13" x14ac:dyDescent="0.2">
      <c r="A469">
        <v>2941</v>
      </c>
      <c r="B469">
        <v>84</v>
      </c>
      <c r="C469" t="s">
        <v>1060</v>
      </c>
      <c r="D469" t="s">
        <v>1533</v>
      </c>
      <c r="E469" t="s">
        <v>1068</v>
      </c>
      <c r="F469" s="8" t="s">
        <v>2529</v>
      </c>
      <c r="G469" t="str">
        <f t="shared" si="51"/>
        <v>(2941,</v>
      </c>
      <c r="H469" t="str">
        <f t="shared" si="52"/>
        <v>84,</v>
      </c>
      <c r="I469" t="str">
        <f t="shared" si="53"/>
        <v>'TSLA',</v>
      </c>
      <c r="J469" t="str">
        <f t="shared" si="54"/>
        <v>925.45,</v>
      </c>
      <c r="K469" t="str">
        <f t="shared" si="55"/>
        <v>'BUY',</v>
      </c>
      <c r="L469" t="str">
        <f t="shared" si="56"/>
        <v>'2024-03-26 15:19:00'),</v>
      </c>
      <c r="M469" t="str">
        <f t="shared" si="57"/>
        <v>(2941,84,'TSLA',925.45,'BUY','2024-03-26 15:19:00'),</v>
      </c>
    </row>
    <row r="470" spans="1:13" x14ac:dyDescent="0.2">
      <c r="A470">
        <v>5297</v>
      </c>
      <c r="B470">
        <v>686</v>
      </c>
      <c r="C470" t="s">
        <v>1063</v>
      </c>
      <c r="D470" t="s">
        <v>1534</v>
      </c>
      <c r="E470" t="s">
        <v>1062</v>
      </c>
      <c r="F470" s="8" t="s">
        <v>2530</v>
      </c>
      <c r="G470" t="str">
        <f t="shared" si="51"/>
        <v>(5297,</v>
      </c>
      <c r="H470" t="str">
        <f t="shared" si="52"/>
        <v>686,</v>
      </c>
      <c r="I470" t="str">
        <f t="shared" si="53"/>
        <v>'META',</v>
      </c>
      <c r="J470" t="str">
        <f t="shared" si="54"/>
        <v>658.99,</v>
      </c>
      <c r="K470" t="str">
        <f t="shared" si="55"/>
        <v>'SELL',</v>
      </c>
      <c r="L470" t="str">
        <f t="shared" si="56"/>
        <v>'2024-02-17 08:58:00'),</v>
      </c>
      <c r="M470" t="str">
        <f t="shared" si="57"/>
        <v>(5297,686,'META',658.99,'SELL','2024-02-17 08:58:00'),</v>
      </c>
    </row>
    <row r="471" spans="1:13" x14ac:dyDescent="0.2">
      <c r="A471">
        <v>9952</v>
      </c>
      <c r="B471">
        <v>742</v>
      </c>
      <c r="C471" t="s">
        <v>1060</v>
      </c>
      <c r="D471" t="s">
        <v>1535</v>
      </c>
      <c r="E471" t="s">
        <v>1062</v>
      </c>
      <c r="F471" s="8" t="s">
        <v>2531</v>
      </c>
      <c r="G471" t="str">
        <f t="shared" si="51"/>
        <v>(9952,</v>
      </c>
      <c r="H471" t="str">
        <f t="shared" si="52"/>
        <v>742,</v>
      </c>
      <c r="I471" t="str">
        <f t="shared" si="53"/>
        <v>'TSLA',</v>
      </c>
      <c r="J471" t="str">
        <f t="shared" si="54"/>
        <v>554.38,</v>
      </c>
      <c r="K471" t="str">
        <f t="shared" si="55"/>
        <v>'SELL',</v>
      </c>
      <c r="L471" t="str">
        <f t="shared" si="56"/>
        <v>'2024-01-17 09:33:00'),</v>
      </c>
      <c r="M471" t="str">
        <f t="shared" si="57"/>
        <v>(9952,742,'TSLA',554.38,'SELL','2024-01-17 09:33:00'),</v>
      </c>
    </row>
    <row r="472" spans="1:13" x14ac:dyDescent="0.2">
      <c r="A472">
        <v>9094</v>
      </c>
      <c r="B472">
        <v>375</v>
      </c>
      <c r="C472" t="s">
        <v>1066</v>
      </c>
      <c r="D472" t="s">
        <v>1536</v>
      </c>
      <c r="E472" t="s">
        <v>1062</v>
      </c>
      <c r="F472" s="8" t="s">
        <v>2532</v>
      </c>
      <c r="G472" t="str">
        <f t="shared" si="51"/>
        <v>(9094,</v>
      </c>
      <c r="H472" t="str">
        <f t="shared" si="52"/>
        <v>375,</v>
      </c>
      <c r="I472" t="str">
        <f t="shared" si="53"/>
        <v>'AMZN',</v>
      </c>
      <c r="J472" t="str">
        <f t="shared" si="54"/>
        <v>480.76,</v>
      </c>
      <c r="K472" t="str">
        <f t="shared" si="55"/>
        <v>'SELL',</v>
      </c>
      <c r="L472" t="str">
        <f t="shared" si="56"/>
        <v>'2024-02-20 22:04:00'),</v>
      </c>
      <c r="M472" t="str">
        <f t="shared" si="57"/>
        <v>(9094,375,'AMZN',480.76,'SELL','2024-02-20 22:04:00'),</v>
      </c>
    </row>
    <row r="473" spans="1:13" x14ac:dyDescent="0.2">
      <c r="A473">
        <v>9094</v>
      </c>
      <c r="B473">
        <v>227</v>
      </c>
      <c r="C473" t="s">
        <v>1069</v>
      </c>
      <c r="D473" t="s">
        <v>1537</v>
      </c>
      <c r="E473" t="s">
        <v>1068</v>
      </c>
      <c r="F473" s="8" t="s">
        <v>2533</v>
      </c>
      <c r="G473" t="str">
        <f t="shared" si="51"/>
        <v>(9094,</v>
      </c>
      <c r="H473" t="str">
        <f t="shared" si="52"/>
        <v>227,</v>
      </c>
      <c r="I473" t="str">
        <f t="shared" si="53"/>
        <v>'MSFT',</v>
      </c>
      <c r="J473" t="str">
        <f t="shared" si="54"/>
        <v>922.1,</v>
      </c>
      <c r="K473" t="str">
        <f t="shared" si="55"/>
        <v>'BUY',</v>
      </c>
      <c r="L473" t="str">
        <f t="shared" si="56"/>
        <v>'2024-03-30 04:48:00'),</v>
      </c>
      <c r="M473" t="str">
        <f t="shared" si="57"/>
        <v>(9094,227,'MSFT',922.1,'BUY','2024-03-30 04:48:00'),</v>
      </c>
    </row>
    <row r="474" spans="1:13" x14ac:dyDescent="0.2">
      <c r="A474">
        <v>9952</v>
      </c>
      <c r="B474">
        <v>82</v>
      </c>
      <c r="C474" t="s">
        <v>1069</v>
      </c>
      <c r="D474" t="s">
        <v>1538</v>
      </c>
      <c r="E474" t="s">
        <v>1068</v>
      </c>
      <c r="F474" s="8" t="s">
        <v>2534</v>
      </c>
      <c r="G474" t="str">
        <f t="shared" si="51"/>
        <v>(9952,</v>
      </c>
      <c r="H474" t="str">
        <f t="shared" si="52"/>
        <v>82,</v>
      </c>
      <c r="I474" t="str">
        <f t="shared" si="53"/>
        <v>'MSFT',</v>
      </c>
      <c r="J474" t="str">
        <f t="shared" si="54"/>
        <v>883.22,</v>
      </c>
      <c r="K474" t="str">
        <f t="shared" si="55"/>
        <v>'BUY',</v>
      </c>
      <c r="L474" t="str">
        <f t="shared" si="56"/>
        <v>'2024-02-28 14:55:00'),</v>
      </c>
      <c r="M474" t="str">
        <f t="shared" si="57"/>
        <v>(9952,82,'MSFT',883.22,'BUY','2024-02-28 14:55:00'),</v>
      </c>
    </row>
    <row r="475" spans="1:13" x14ac:dyDescent="0.2">
      <c r="A475">
        <v>4669</v>
      </c>
      <c r="B475">
        <v>807</v>
      </c>
      <c r="C475" t="s">
        <v>1060</v>
      </c>
      <c r="D475" t="s">
        <v>1539</v>
      </c>
      <c r="E475" t="s">
        <v>1062</v>
      </c>
      <c r="F475" s="8" t="s">
        <v>2535</v>
      </c>
      <c r="G475" t="str">
        <f t="shared" si="51"/>
        <v>(4669,</v>
      </c>
      <c r="H475" t="str">
        <f t="shared" si="52"/>
        <v>807,</v>
      </c>
      <c r="I475" t="str">
        <f t="shared" si="53"/>
        <v>'TSLA',</v>
      </c>
      <c r="J475" t="str">
        <f t="shared" si="54"/>
        <v>131.04,</v>
      </c>
      <c r="K475" t="str">
        <f t="shared" si="55"/>
        <v>'SELL',</v>
      </c>
      <c r="L475" t="str">
        <f t="shared" si="56"/>
        <v>'2024-03-18 05:54:00'),</v>
      </c>
      <c r="M475" t="str">
        <f t="shared" si="57"/>
        <v>(4669,807,'TSLA',131.04,'SELL','2024-03-18 05:54:00'),</v>
      </c>
    </row>
    <row r="476" spans="1:13" x14ac:dyDescent="0.2">
      <c r="A476">
        <v>2941</v>
      </c>
      <c r="B476">
        <v>442</v>
      </c>
      <c r="C476" t="s">
        <v>1066</v>
      </c>
      <c r="D476" t="s">
        <v>1540</v>
      </c>
      <c r="E476" t="s">
        <v>1068</v>
      </c>
      <c r="F476" s="8" t="s">
        <v>2536</v>
      </c>
      <c r="G476" t="str">
        <f t="shared" si="51"/>
        <v>(2941,</v>
      </c>
      <c r="H476" t="str">
        <f t="shared" si="52"/>
        <v>442,</v>
      </c>
      <c r="I476" t="str">
        <f t="shared" si="53"/>
        <v>'AMZN',</v>
      </c>
      <c r="J476" t="str">
        <f t="shared" si="54"/>
        <v>618.04,</v>
      </c>
      <c r="K476" t="str">
        <f t="shared" si="55"/>
        <v>'BUY',</v>
      </c>
      <c r="L476" t="str">
        <f t="shared" si="56"/>
        <v>'2024-04-05 13:45:00'),</v>
      </c>
      <c r="M476" t="str">
        <f t="shared" si="57"/>
        <v>(2941,442,'AMZN',618.04,'BUY','2024-04-05 13:45:00'),</v>
      </c>
    </row>
    <row r="477" spans="1:13" x14ac:dyDescent="0.2">
      <c r="A477">
        <v>4669</v>
      </c>
      <c r="B477">
        <v>332</v>
      </c>
      <c r="C477" t="s">
        <v>1066</v>
      </c>
      <c r="D477" t="s">
        <v>1541</v>
      </c>
      <c r="E477" t="s">
        <v>1062</v>
      </c>
      <c r="F477" s="8" t="s">
        <v>2537</v>
      </c>
      <c r="G477" t="str">
        <f t="shared" si="51"/>
        <v>(4669,</v>
      </c>
      <c r="H477" t="str">
        <f t="shared" si="52"/>
        <v>332,</v>
      </c>
      <c r="I477" t="str">
        <f t="shared" si="53"/>
        <v>'AMZN',</v>
      </c>
      <c r="J477" t="str">
        <f t="shared" si="54"/>
        <v>563.18,</v>
      </c>
      <c r="K477" t="str">
        <f t="shared" si="55"/>
        <v>'SELL',</v>
      </c>
      <c r="L477" t="str">
        <f t="shared" si="56"/>
        <v>'2024-02-05 19:43:00'),</v>
      </c>
      <c r="M477" t="str">
        <f t="shared" si="57"/>
        <v>(4669,332,'AMZN',563.18,'SELL','2024-02-05 19:43:00'),</v>
      </c>
    </row>
    <row r="478" spans="1:13" x14ac:dyDescent="0.2">
      <c r="A478">
        <v>6298</v>
      </c>
      <c r="B478">
        <v>36</v>
      </c>
      <c r="C478" t="s">
        <v>1069</v>
      </c>
      <c r="D478" t="s">
        <v>1542</v>
      </c>
      <c r="E478" t="s">
        <v>1068</v>
      </c>
      <c r="F478" s="8" t="s">
        <v>2538</v>
      </c>
      <c r="G478" t="str">
        <f t="shared" si="51"/>
        <v>(6298,</v>
      </c>
      <c r="H478" t="str">
        <f t="shared" si="52"/>
        <v>36,</v>
      </c>
      <c r="I478" t="str">
        <f t="shared" si="53"/>
        <v>'MSFT',</v>
      </c>
      <c r="J478" t="str">
        <f t="shared" si="54"/>
        <v>794.11,</v>
      </c>
      <c r="K478" t="str">
        <f t="shared" si="55"/>
        <v>'BUY',</v>
      </c>
      <c r="L478" t="str">
        <f t="shared" si="56"/>
        <v>'2024-03-06 13:20:00'),</v>
      </c>
      <c r="M478" t="str">
        <f t="shared" si="57"/>
        <v>(6298,36,'MSFT',794.11,'BUY','2024-03-06 13:20:00'),</v>
      </c>
    </row>
    <row r="479" spans="1:13" x14ac:dyDescent="0.2">
      <c r="A479">
        <v>7922</v>
      </c>
      <c r="B479">
        <v>655</v>
      </c>
      <c r="C479" t="s">
        <v>1066</v>
      </c>
      <c r="D479" t="s">
        <v>1543</v>
      </c>
      <c r="E479" t="s">
        <v>1068</v>
      </c>
      <c r="F479" s="8" t="s">
        <v>2539</v>
      </c>
      <c r="G479" t="str">
        <f t="shared" si="51"/>
        <v>(7922,</v>
      </c>
      <c r="H479" t="str">
        <f t="shared" si="52"/>
        <v>655,</v>
      </c>
      <c r="I479" t="str">
        <f t="shared" si="53"/>
        <v>'AMZN',</v>
      </c>
      <c r="J479" t="str">
        <f t="shared" si="54"/>
        <v>350.85,</v>
      </c>
      <c r="K479" t="str">
        <f t="shared" si="55"/>
        <v>'BUY',</v>
      </c>
      <c r="L479" t="str">
        <f t="shared" si="56"/>
        <v>'2024-02-28 22:27:00'),</v>
      </c>
      <c r="M479" t="str">
        <f t="shared" si="57"/>
        <v>(7922,655,'AMZN',350.85,'BUY','2024-02-28 22:27:00'),</v>
      </c>
    </row>
    <row r="480" spans="1:13" x14ac:dyDescent="0.2">
      <c r="A480">
        <v>7531</v>
      </c>
      <c r="B480">
        <v>476</v>
      </c>
      <c r="C480" t="s">
        <v>1069</v>
      </c>
      <c r="D480" t="s">
        <v>1544</v>
      </c>
      <c r="E480" t="s">
        <v>1068</v>
      </c>
      <c r="F480" s="8" t="s">
        <v>2540</v>
      </c>
      <c r="G480" t="str">
        <f t="shared" si="51"/>
        <v>(7531,</v>
      </c>
      <c r="H480" t="str">
        <f t="shared" si="52"/>
        <v>476,</v>
      </c>
      <c r="I480" t="str">
        <f t="shared" si="53"/>
        <v>'MSFT',</v>
      </c>
      <c r="J480" t="str">
        <f t="shared" si="54"/>
        <v>322.7,</v>
      </c>
      <c r="K480" t="str">
        <f t="shared" si="55"/>
        <v>'BUY',</v>
      </c>
      <c r="L480" t="str">
        <f t="shared" si="56"/>
        <v>'2024-02-19 03:13:00'),</v>
      </c>
      <c r="M480" t="str">
        <f t="shared" si="57"/>
        <v>(7531,476,'MSFT',322.7,'BUY','2024-02-19 03:13:00'),</v>
      </c>
    </row>
    <row r="481" spans="1:13" x14ac:dyDescent="0.2">
      <c r="A481">
        <v>5751</v>
      </c>
      <c r="B481">
        <v>885</v>
      </c>
      <c r="C481" t="s">
        <v>1060</v>
      </c>
      <c r="D481" t="s">
        <v>1545</v>
      </c>
      <c r="E481" t="s">
        <v>1068</v>
      </c>
      <c r="F481" s="8" t="s">
        <v>2541</v>
      </c>
      <c r="G481" t="str">
        <f t="shared" si="51"/>
        <v>(5751,</v>
      </c>
      <c r="H481" t="str">
        <f t="shared" si="52"/>
        <v>885,</v>
      </c>
      <c r="I481" t="str">
        <f t="shared" si="53"/>
        <v>'TSLA',</v>
      </c>
      <c r="J481" t="str">
        <f t="shared" si="54"/>
        <v>549.98,</v>
      </c>
      <c r="K481" t="str">
        <f t="shared" si="55"/>
        <v>'BUY',</v>
      </c>
      <c r="L481" t="str">
        <f t="shared" si="56"/>
        <v>'2024-03-27 16:32:00'),</v>
      </c>
      <c r="M481" t="str">
        <f t="shared" si="57"/>
        <v>(5751,885,'TSLA',549.98,'BUY','2024-03-27 16:32:00'),</v>
      </c>
    </row>
    <row r="482" spans="1:13" x14ac:dyDescent="0.2">
      <c r="A482">
        <v>7531</v>
      </c>
      <c r="B482">
        <v>638</v>
      </c>
      <c r="C482" t="s">
        <v>1069</v>
      </c>
      <c r="D482" t="s">
        <v>1546</v>
      </c>
      <c r="E482" t="s">
        <v>1062</v>
      </c>
      <c r="F482" s="8" t="s">
        <v>2542</v>
      </c>
      <c r="G482" t="str">
        <f t="shared" si="51"/>
        <v>(7531,</v>
      </c>
      <c r="H482" t="str">
        <f t="shared" si="52"/>
        <v>638,</v>
      </c>
      <c r="I482" t="str">
        <f t="shared" si="53"/>
        <v>'MSFT',</v>
      </c>
      <c r="J482" t="str">
        <f t="shared" si="54"/>
        <v>692.13,</v>
      </c>
      <c r="K482" t="str">
        <f t="shared" si="55"/>
        <v>'SELL',</v>
      </c>
      <c r="L482" t="str">
        <f t="shared" si="56"/>
        <v>'2024-01-29 11:14:00'),</v>
      </c>
      <c r="M482" t="str">
        <f t="shared" si="57"/>
        <v>(7531,638,'MSFT',692.13,'SELL','2024-01-29 11:14:00'),</v>
      </c>
    </row>
    <row r="483" spans="1:13" x14ac:dyDescent="0.2">
      <c r="A483">
        <v>9094</v>
      </c>
      <c r="B483">
        <v>480</v>
      </c>
      <c r="C483" t="s">
        <v>1069</v>
      </c>
      <c r="D483" t="s">
        <v>1547</v>
      </c>
      <c r="E483" t="s">
        <v>1062</v>
      </c>
      <c r="F483" s="8" t="s">
        <v>2543</v>
      </c>
      <c r="G483" t="str">
        <f t="shared" si="51"/>
        <v>(9094,</v>
      </c>
      <c r="H483" t="str">
        <f t="shared" si="52"/>
        <v>480,</v>
      </c>
      <c r="I483" t="str">
        <f t="shared" si="53"/>
        <v>'MSFT',</v>
      </c>
      <c r="J483" t="str">
        <f t="shared" si="54"/>
        <v>206.88,</v>
      </c>
      <c r="K483" t="str">
        <f t="shared" si="55"/>
        <v>'SELL',</v>
      </c>
      <c r="L483" t="str">
        <f t="shared" si="56"/>
        <v>'2024-04-05 06:19:00'),</v>
      </c>
      <c r="M483" t="str">
        <f t="shared" si="57"/>
        <v>(9094,480,'MSFT',206.88,'SELL','2024-04-05 06:19:00'),</v>
      </c>
    </row>
    <row r="484" spans="1:13" x14ac:dyDescent="0.2">
      <c r="A484">
        <v>5258</v>
      </c>
      <c r="B484">
        <v>343</v>
      </c>
      <c r="C484" t="s">
        <v>1060</v>
      </c>
      <c r="D484" t="s">
        <v>1548</v>
      </c>
      <c r="E484" t="s">
        <v>1068</v>
      </c>
      <c r="F484" s="8" t="s">
        <v>2544</v>
      </c>
      <c r="G484" t="str">
        <f t="shared" si="51"/>
        <v>(5258,</v>
      </c>
      <c r="H484" t="str">
        <f t="shared" si="52"/>
        <v>343,</v>
      </c>
      <c r="I484" t="str">
        <f t="shared" si="53"/>
        <v>'TSLA',</v>
      </c>
      <c r="J484" t="str">
        <f t="shared" si="54"/>
        <v>819.88,</v>
      </c>
      <c r="K484" t="str">
        <f t="shared" si="55"/>
        <v>'BUY',</v>
      </c>
      <c r="L484" t="str">
        <f t="shared" si="56"/>
        <v>'2024-01-05 23:02:00'),</v>
      </c>
      <c r="M484" t="str">
        <f t="shared" si="57"/>
        <v>(5258,343,'TSLA',819.88,'BUY','2024-01-05 23:02:00'),</v>
      </c>
    </row>
    <row r="485" spans="1:13" x14ac:dyDescent="0.2">
      <c r="A485">
        <v>5297</v>
      </c>
      <c r="B485">
        <v>338</v>
      </c>
      <c r="C485" t="s">
        <v>1063</v>
      </c>
      <c r="D485" t="s">
        <v>1549</v>
      </c>
      <c r="E485" t="s">
        <v>1068</v>
      </c>
      <c r="F485" s="8" t="s">
        <v>2545</v>
      </c>
      <c r="G485" t="str">
        <f t="shared" si="51"/>
        <v>(5297,</v>
      </c>
      <c r="H485" t="str">
        <f t="shared" si="52"/>
        <v>338,</v>
      </c>
      <c r="I485" t="str">
        <f t="shared" si="53"/>
        <v>'META',</v>
      </c>
      <c r="J485" t="str">
        <f t="shared" si="54"/>
        <v>903.67,</v>
      </c>
      <c r="K485" t="str">
        <f t="shared" si="55"/>
        <v>'BUY',</v>
      </c>
      <c r="L485" t="str">
        <f t="shared" si="56"/>
        <v>'2024-05-11 01:18:00'),</v>
      </c>
      <c r="M485" t="str">
        <f t="shared" si="57"/>
        <v>(5297,338,'META',903.67,'BUY','2024-05-11 01:18:00'),</v>
      </c>
    </row>
    <row r="486" spans="1:13" x14ac:dyDescent="0.2">
      <c r="A486">
        <v>7938</v>
      </c>
      <c r="B486">
        <v>567</v>
      </c>
      <c r="C486" t="s">
        <v>1069</v>
      </c>
      <c r="D486" t="s">
        <v>1550</v>
      </c>
      <c r="E486" t="s">
        <v>1062</v>
      </c>
      <c r="F486" s="8" t="s">
        <v>2546</v>
      </c>
      <c r="G486" t="str">
        <f t="shared" si="51"/>
        <v>(7938,</v>
      </c>
      <c r="H486" t="str">
        <f t="shared" si="52"/>
        <v>567,</v>
      </c>
      <c r="I486" t="str">
        <f t="shared" si="53"/>
        <v>'MSFT',</v>
      </c>
      <c r="J486" t="str">
        <f t="shared" si="54"/>
        <v>348.6,</v>
      </c>
      <c r="K486" t="str">
        <f t="shared" si="55"/>
        <v>'SELL',</v>
      </c>
      <c r="L486" t="str">
        <f t="shared" si="56"/>
        <v>'2024-03-03 06:12:00'),</v>
      </c>
      <c r="M486" t="str">
        <f t="shared" si="57"/>
        <v>(7938,567,'MSFT',348.6,'SELL','2024-03-03 06:12:00'),</v>
      </c>
    </row>
    <row r="487" spans="1:13" x14ac:dyDescent="0.2">
      <c r="A487">
        <v>9952</v>
      </c>
      <c r="B487">
        <v>627</v>
      </c>
      <c r="C487" t="s">
        <v>1069</v>
      </c>
      <c r="D487" t="s">
        <v>1551</v>
      </c>
      <c r="E487" t="s">
        <v>1062</v>
      </c>
      <c r="F487" s="8" t="s">
        <v>2547</v>
      </c>
      <c r="G487" t="str">
        <f t="shared" si="51"/>
        <v>(9952,</v>
      </c>
      <c r="H487" t="str">
        <f t="shared" si="52"/>
        <v>627,</v>
      </c>
      <c r="I487" t="str">
        <f t="shared" si="53"/>
        <v>'MSFT',</v>
      </c>
      <c r="J487" t="str">
        <f t="shared" si="54"/>
        <v>879.64,</v>
      </c>
      <c r="K487" t="str">
        <f t="shared" si="55"/>
        <v>'SELL',</v>
      </c>
      <c r="L487" t="str">
        <f t="shared" si="56"/>
        <v>'2024-02-01 08:44:00'),</v>
      </c>
      <c r="M487" t="str">
        <f t="shared" si="57"/>
        <v>(9952,627,'MSFT',879.64,'SELL','2024-02-01 08:44:00'),</v>
      </c>
    </row>
    <row r="488" spans="1:13" x14ac:dyDescent="0.2">
      <c r="A488">
        <v>5297</v>
      </c>
      <c r="B488">
        <v>740</v>
      </c>
      <c r="C488" t="s">
        <v>1063</v>
      </c>
      <c r="D488" t="s">
        <v>1552</v>
      </c>
      <c r="E488" t="s">
        <v>1068</v>
      </c>
      <c r="F488" s="8" t="s">
        <v>2548</v>
      </c>
      <c r="G488" t="str">
        <f t="shared" si="51"/>
        <v>(5297,</v>
      </c>
      <c r="H488" t="str">
        <f t="shared" si="52"/>
        <v>740,</v>
      </c>
      <c r="I488" t="str">
        <f t="shared" si="53"/>
        <v>'META',</v>
      </c>
      <c r="J488" t="str">
        <f t="shared" si="54"/>
        <v>748.26,</v>
      </c>
      <c r="K488" t="str">
        <f t="shared" si="55"/>
        <v>'BUY',</v>
      </c>
      <c r="L488" t="str">
        <f t="shared" si="56"/>
        <v>'2024-04-02 02:16:00'),</v>
      </c>
      <c r="M488" t="str">
        <f t="shared" si="57"/>
        <v>(5297,740,'META',748.26,'BUY','2024-04-02 02:16:00'),</v>
      </c>
    </row>
    <row r="489" spans="1:13" x14ac:dyDescent="0.2">
      <c r="A489">
        <v>7531</v>
      </c>
      <c r="B489">
        <v>641</v>
      </c>
      <c r="C489" t="s">
        <v>1069</v>
      </c>
      <c r="D489" t="s">
        <v>1553</v>
      </c>
      <c r="E489" t="s">
        <v>1062</v>
      </c>
      <c r="F489" s="8" t="s">
        <v>2549</v>
      </c>
      <c r="G489" t="str">
        <f t="shared" si="51"/>
        <v>(7531,</v>
      </c>
      <c r="H489" t="str">
        <f t="shared" si="52"/>
        <v>641,</v>
      </c>
      <c r="I489" t="str">
        <f t="shared" si="53"/>
        <v>'MSFT',</v>
      </c>
      <c r="J489" t="str">
        <f t="shared" si="54"/>
        <v>940.58,</v>
      </c>
      <c r="K489" t="str">
        <f t="shared" si="55"/>
        <v>'SELL',</v>
      </c>
      <c r="L489" t="str">
        <f t="shared" si="56"/>
        <v>'2024-03-28 22:21:00'),</v>
      </c>
      <c r="M489" t="str">
        <f t="shared" si="57"/>
        <v>(7531,641,'MSFT',940.58,'SELL','2024-03-28 22:21:00'),</v>
      </c>
    </row>
    <row r="490" spans="1:13" x14ac:dyDescent="0.2">
      <c r="A490">
        <v>7938</v>
      </c>
      <c r="B490">
        <v>895</v>
      </c>
      <c r="C490" t="s">
        <v>1060</v>
      </c>
      <c r="D490" t="s">
        <v>1554</v>
      </c>
      <c r="E490" t="s">
        <v>1062</v>
      </c>
      <c r="F490" s="8" t="s">
        <v>2550</v>
      </c>
      <c r="G490" t="str">
        <f t="shared" si="51"/>
        <v>(7938,</v>
      </c>
      <c r="H490" t="str">
        <f t="shared" si="52"/>
        <v>895,</v>
      </c>
      <c r="I490" t="str">
        <f t="shared" si="53"/>
        <v>'TSLA',</v>
      </c>
      <c r="J490" t="str">
        <f t="shared" si="54"/>
        <v>730.75,</v>
      </c>
      <c r="K490" t="str">
        <f t="shared" si="55"/>
        <v>'SELL',</v>
      </c>
      <c r="L490" t="str">
        <f t="shared" si="56"/>
        <v>'2024-03-29 07:25:00'),</v>
      </c>
      <c r="M490" t="str">
        <f t="shared" si="57"/>
        <v>(7938,895,'TSLA',730.75,'SELL','2024-03-29 07:25:00'),</v>
      </c>
    </row>
    <row r="491" spans="1:13" x14ac:dyDescent="0.2">
      <c r="A491">
        <v>7922</v>
      </c>
      <c r="B491">
        <v>488</v>
      </c>
      <c r="C491" t="s">
        <v>1069</v>
      </c>
      <c r="D491" t="s">
        <v>1555</v>
      </c>
      <c r="E491" t="s">
        <v>1068</v>
      </c>
      <c r="F491" s="8" t="s">
        <v>2551</v>
      </c>
      <c r="G491" t="str">
        <f t="shared" si="51"/>
        <v>(7922,</v>
      </c>
      <c r="H491" t="str">
        <f t="shared" si="52"/>
        <v>488,</v>
      </c>
      <c r="I491" t="str">
        <f t="shared" si="53"/>
        <v>'MSFT',</v>
      </c>
      <c r="J491" t="str">
        <f t="shared" si="54"/>
        <v>941.73,</v>
      </c>
      <c r="K491" t="str">
        <f t="shared" si="55"/>
        <v>'BUY',</v>
      </c>
      <c r="L491" t="str">
        <f t="shared" si="56"/>
        <v>'2024-05-23 15:56:00'),</v>
      </c>
      <c r="M491" t="str">
        <f t="shared" si="57"/>
        <v>(7922,488,'MSFT',941.73,'BUY','2024-05-23 15:56:00'),</v>
      </c>
    </row>
    <row r="492" spans="1:13" x14ac:dyDescent="0.2">
      <c r="A492">
        <v>5705</v>
      </c>
      <c r="B492">
        <v>881</v>
      </c>
      <c r="C492" t="s">
        <v>1063</v>
      </c>
      <c r="D492" t="s">
        <v>1556</v>
      </c>
      <c r="E492" t="s">
        <v>1062</v>
      </c>
      <c r="F492" s="8" t="s">
        <v>2552</v>
      </c>
      <c r="G492" t="str">
        <f t="shared" si="51"/>
        <v>(5705,</v>
      </c>
      <c r="H492" t="str">
        <f t="shared" si="52"/>
        <v>881,</v>
      </c>
      <c r="I492" t="str">
        <f t="shared" si="53"/>
        <v>'META',</v>
      </c>
      <c r="J492" t="str">
        <f t="shared" si="54"/>
        <v>452.91,</v>
      </c>
      <c r="K492" t="str">
        <f t="shared" si="55"/>
        <v>'SELL',</v>
      </c>
      <c r="L492" t="str">
        <f t="shared" si="56"/>
        <v>'2024-04-29 10:39:00'),</v>
      </c>
      <c r="M492" t="str">
        <f t="shared" si="57"/>
        <v>(5705,881,'META',452.91,'SELL','2024-04-29 10:39:00'),</v>
      </c>
    </row>
    <row r="493" spans="1:13" x14ac:dyDescent="0.2">
      <c r="A493">
        <v>5258</v>
      </c>
      <c r="B493">
        <v>889</v>
      </c>
      <c r="C493" t="s">
        <v>1060</v>
      </c>
      <c r="D493" t="s">
        <v>1557</v>
      </c>
      <c r="E493" t="s">
        <v>1062</v>
      </c>
      <c r="F493" s="8" t="s">
        <v>2553</v>
      </c>
      <c r="G493" t="str">
        <f t="shared" si="51"/>
        <v>(5258,</v>
      </c>
      <c r="H493" t="str">
        <f t="shared" si="52"/>
        <v>889,</v>
      </c>
      <c r="I493" t="str">
        <f t="shared" si="53"/>
        <v>'TSLA',</v>
      </c>
      <c r="J493" t="str">
        <f t="shared" si="54"/>
        <v>599.12,</v>
      </c>
      <c r="K493" t="str">
        <f t="shared" si="55"/>
        <v>'SELL',</v>
      </c>
      <c r="L493" t="str">
        <f t="shared" si="56"/>
        <v>'2024-02-14 21:36:00'),</v>
      </c>
      <c r="M493" t="str">
        <f t="shared" si="57"/>
        <v>(5258,889,'TSLA',599.12,'SELL','2024-02-14 21:36:00'),</v>
      </c>
    </row>
    <row r="494" spans="1:13" x14ac:dyDescent="0.2">
      <c r="A494">
        <v>5297</v>
      </c>
      <c r="B494">
        <v>396</v>
      </c>
      <c r="C494" t="s">
        <v>1066</v>
      </c>
      <c r="D494" t="s">
        <v>1558</v>
      </c>
      <c r="E494" t="s">
        <v>1062</v>
      </c>
      <c r="F494" s="8" t="s">
        <v>2554</v>
      </c>
      <c r="G494" t="str">
        <f t="shared" si="51"/>
        <v>(5297,</v>
      </c>
      <c r="H494" t="str">
        <f t="shared" si="52"/>
        <v>396,</v>
      </c>
      <c r="I494" t="str">
        <f t="shared" si="53"/>
        <v>'AMZN',</v>
      </c>
      <c r="J494" t="str">
        <f t="shared" si="54"/>
        <v>712.01,</v>
      </c>
      <c r="K494" t="str">
        <f t="shared" si="55"/>
        <v>'SELL',</v>
      </c>
      <c r="L494" t="str">
        <f t="shared" si="56"/>
        <v>'2024-02-21 07:16:00'),</v>
      </c>
      <c r="M494" t="str">
        <f t="shared" si="57"/>
        <v>(5297,396,'AMZN',712.01,'SELL','2024-02-21 07:16:00'),</v>
      </c>
    </row>
    <row r="495" spans="1:13" x14ac:dyDescent="0.2">
      <c r="A495">
        <v>1691</v>
      </c>
      <c r="B495">
        <v>937</v>
      </c>
      <c r="C495" t="s">
        <v>1063</v>
      </c>
      <c r="D495" t="s">
        <v>1559</v>
      </c>
      <c r="E495" t="s">
        <v>1062</v>
      </c>
      <c r="F495" s="8" t="s">
        <v>2555</v>
      </c>
      <c r="G495" t="str">
        <f t="shared" si="51"/>
        <v>(1691,</v>
      </c>
      <c r="H495" t="str">
        <f t="shared" si="52"/>
        <v>937,</v>
      </c>
      <c r="I495" t="str">
        <f t="shared" si="53"/>
        <v>'META',</v>
      </c>
      <c r="J495" t="str">
        <f t="shared" si="54"/>
        <v>191.84,</v>
      </c>
      <c r="K495" t="str">
        <f t="shared" si="55"/>
        <v>'SELL',</v>
      </c>
      <c r="L495" t="str">
        <f t="shared" si="56"/>
        <v>'2024-04-01 11:48:00'),</v>
      </c>
      <c r="M495" t="str">
        <f t="shared" si="57"/>
        <v>(1691,937,'META',191.84,'SELL','2024-04-01 11:48:00'),</v>
      </c>
    </row>
    <row r="496" spans="1:13" x14ac:dyDescent="0.2">
      <c r="A496">
        <v>4168</v>
      </c>
      <c r="B496">
        <v>534</v>
      </c>
      <c r="C496" t="s">
        <v>1060</v>
      </c>
      <c r="D496" t="s">
        <v>1560</v>
      </c>
      <c r="E496" t="s">
        <v>1062</v>
      </c>
      <c r="F496" s="8" t="s">
        <v>2556</v>
      </c>
      <c r="G496" t="str">
        <f t="shared" si="51"/>
        <v>(4168,</v>
      </c>
      <c r="H496" t="str">
        <f t="shared" si="52"/>
        <v>534,</v>
      </c>
      <c r="I496" t="str">
        <f t="shared" si="53"/>
        <v>'TSLA',</v>
      </c>
      <c r="J496" t="str">
        <f t="shared" si="54"/>
        <v>254.67,</v>
      </c>
      <c r="K496" t="str">
        <f t="shared" si="55"/>
        <v>'SELL',</v>
      </c>
      <c r="L496" t="str">
        <f t="shared" si="56"/>
        <v>'2024-04-19 18:44:00'),</v>
      </c>
      <c r="M496" t="str">
        <f t="shared" si="57"/>
        <v>(4168,534,'TSLA',254.67,'SELL','2024-04-19 18:44:00'),</v>
      </c>
    </row>
    <row r="497" spans="1:13" x14ac:dyDescent="0.2">
      <c r="A497">
        <v>4669</v>
      </c>
      <c r="B497">
        <v>305</v>
      </c>
      <c r="C497" t="s">
        <v>1063</v>
      </c>
      <c r="D497" t="s">
        <v>1561</v>
      </c>
      <c r="E497" t="s">
        <v>1068</v>
      </c>
      <c r="F497" s="8" t="s">
        <v>2557</v>
      </c>
      <c r="G497" t="str">
        <f t="shared" si="51"/>
        <v>(4669,</v>
      </c>
      <c r="H497" t="str">
        <f t="shared" si="52"/>
        <v>305,</v>
      </c>
      <c r="I497" t="str">
        <f t="shared" si="53"/>
        <v>'META',</v>
      </c>
      <c r="J497" t="str">
        <f t="shared" si="54"/>
        <v>935.24,</v>
      </c>
      <c r="K497" t="str">
        <f t="shared" si="55"/>
        <v>'BUY',</v>
      </c>
      <c r="L497" t="str">
        <f t="shared" si="56"/>
        <v>'2024-01-16 03:57:00'),</v>
      </c>
      <c r="M497" t="str">
        <f t="shared" si="57"/>
        <v>(4669,305,'META',935.24,'BUY','2024-01-16 03:57:00'),</v>
      </c>
    </row>
    <row r="498" spans="1:13" x14ac:dyDescent="0.2">
      <c r="A498">
        <v>1691</v>
      </c>
      <c r="B498">
        <v>447</v>
      </c>
      <c r="C498" t="s">
        <v>1063</v>
      </c>
      <c r="D498" t="s">
        <v>1562</v>
      </c>
      <c r="E498" t="s">
        <v>1068</v>
      </c>
      <c r="F498" s="8" t="s">
        <v>2558</v>
      </c>
      <c r="G498" t="str">
        <f t="shared" si="51"/>
        <v>(1691,</v>
      </c>
      <c r="H498" t="str">
        <f t="shared" si="52"/>
        <v>447,</v>
      </c>
      <c r="I498" t="str">
        <f t="shared" si="53"/>
        <v>'META',</v>
      </c>
      <c r="J498" t="str">
        <f t="shared" si="54"/>
        <v>235.06,</v>
      </c>
      <c r="K498" t="str">
        <f t="shared" si="55"/>
        <v>'BUY',</v>
      </c>
      <c r="L498" t="str">
        <f t="shared" si="56"/>
        <v>'2024-02-19 14:36:00'),</v>
      </c>
      <c r="M498" t="str">
        <f t="shared" si="57"/>
        <v>(1691,447,'META',235.06,'BUY','2024-02-19 14:36:00'),</v>
      </c>
    </row>
    <row r="499" spans="1:13" x14ac:dyDescent="0.2">
      <c r="A499">
        <v>5258</v>
      </c>
      <c r="B499">
        <v>753</v>
      </c>
      <c r="C499" t="s">
        <v>1066</v>
      </c>
      <c r="D499" t="s">
        <v>1563</v>
      </c>
      <c r="E499" t="s">
        <v>1068</v>
      </c>
      <c r="F499" s="8" t="s">
        <v>2559</v>
      </c>
      <c r="G499" t="str">
        <f t="shared" si="51"/>
        <v>(5258,</v>
      </c>
      <c r="H499" t="str">
        <f t="shared" si="52"/>
        <v>753,</v>
      </c>
      <c r="I499" t="str">
        <f t="shared" si="53"/>
        <v>'AMZN',</v>
      </c>
      <c r="J499" t="str">
        <f t="shared" si="54"/>
        <v>108.62,</v>
      </c>
      <c r="K499" t="str">
        <f t="shared" si="55"/>
        <v>'BUY',</v>
      </c>
      <c r="L499" t="str">
        <f t="shared" si="56"/>
        <v>'2024-04-08 21:06:00'),</v>
      </c>
      <c r="M499" t="str">
        <f t="shared" si="57"/>
        <v>(5258,753,'AMZN',108.62,'BUY','2024-04-08 21:06:00'),</v>
      </c>
    </row>
    <row r="500" spans="1:13" x14ac:dyDescent="0.2">
      <c r="A500">
        <v>6298</v>
      </c>
      <c r="B500">
        <v>636</v>
      </c>
      <c r="C500" t="s">
        <v>1060</v>
      </c>
      <c r="D500" t="s">
        <v>1564</v>
      </c>
      <c r="E500" t="s">
        <v>1068</v>
      </c>
      <c r="F500" s="8" t="s">
        <v>2560</v>
      </c>
      <c r="G500" t="str">
        <f t="shared" si="51"/>
        <v>(6298,</v>
      </c>
      <c r="H500" t="str">
        <f t="shared" si="52"/>
        <v>636,</v>
      </c>
      <c r="I500" t="str">
        <f t="shared" si="53"/>
        <v>'TSLA',</v>
      </c>
      <c r="J500" t="str">
        <f t="shared" si="54"/>
        <v>462.94,</v>
      </c>
      <c r="K500" t="str">
        <f t="shared" si="55"/>
        <v>'BUY',</v>
      </c>
      <c r="L500" t="str">
        <f t="shared" si="56"/>
        <v>'2024-05-24 12:32:00'),</v>
      </c>
      <c r="M500" t="str">
        <f t="shared" si="57"/>
        <v>(6298,636,'TSLA',462.94,'BUY','2024-05-24 12:32:00'),</v>
      </c>
    </row>
    <row r="501" spans="1:13" x14ac:dyDescent="0.2">
      <c r="A501">
        <v>9094</v>
      </c>
      <c r="B501">
        <v>863</v>
      </c>
      <c r="C501" t="s">
        <v>1063</v>
      </c>
      <c r="D501" t="s">
        <v>1565</v>
      </c>
      <c r="E501" t="s">
        <v>1068</v>
      </c>
      <c r="F501" s="8" t="s">
        <v>2561</v>
      </c>
      <c r="G501" t="str">
        <f t="shared" si="51"/>
        <v>(9094,</v>
      </c>
      <c r="H501" t="str">
        <f t="shared" si="52"/>
        <v>863,</v>
      </c>
      <c r="I501" t="str">
        <f t="shared" si="53"/>
        <v>'META',</v>
      </c>
      <c r="J501" t="str">
        <f t="shared" si="54"/>
        <v>175.07,</v>
      </c>
      <c r="K501" t="str">
        <f t="shared" si="55"/>
        <v>'BUY',</v>
      </c>
      <c r="L501" t="str">
        <f t="shared" si="56"/>
        <v>'2024-03-18 03:06:00'),</v>
      </c>
      <c r="M501" t="str">
        <f t="shared" si="57"/>
        <v>(9094,863,'META',175.07,'BUY','2024-03-18 03:06:00'),</v>
      </c>
    </row>
    <row r="502" spans="1:13" x14ac:dyDescent="0.2">
      <c r="A502">
        <v>7922</v>
      </c>
      <c r="B502">
        <v>26</v>
      </c>
      <c r="C502" t="s">
        <v>1060</v>
      </c>
      <c r="D502" t="s">
        <v>1566</v>
      </c>
      <c r="E502" t="s">
        <v>1062</v>
      </c>
      <c r="F502" s="8" t="s">
        <v>2562</v>
      </c>
      <c r="G502" t="str">
        <f t="shared" si="51"/>
        <v>(7922,</v>
      </c>
      <c r="H502" t="str">
        <f t="shared" si="52"/>
        <v>26,</v>
      </c>
      <c r="I502" t="str">
        <f t="shared" si="53"/>
        <v>'TSLA',</v>
      </c>
      <c r="J502" t="str">
        <f t="shared" si="54"/>
        <v>785.88,</v>
      </c>
      <c r="K502" t="str">
        <f t="shared" si="55"/>
        <v>'SELL',</v>
      </c>
      <c r="L502" t="str">
        <f t="shared" si="56"/>
        <v>'2024-05-19 16:02:00'),</v>
      </c>
      <c r="M502" t="str">
        <f t="shared" si="57"/>
        <v>(7922,26,'TSLA',785.88,'SELL','2024-05-19 16:02:00'),</v>
      </c>
    </row>
    <row r="503" spans="1:13" x14ac:dyDescent="0.2">
      <c r="A503">
        <v>7531</v>
      </c>
      <c r="B503">
        <v>254</v>
      </c>
      <c r="C503" t="s">
        <v>1063</v>
      </c>
      <c r="D503" t="s">
        <v>1567</v>
      </c>
      <c r="E503" t="s">
        <v>1068</v>
      </c>
      <c r="F503" s="8" t="s">
        <v>2563</v>
      </c>
      <c r="G503" t="str">
        <f t="shared" si="51"/>
        <v>(7531,</v>
      </c>
      <c r="H503" t="str">
        <f t="shared" si="52"/>
        <v>254,</v>
      </c>
      <c r="I503" t="str">
        <f t="shared" si="53"/>
        <v>'META',</v>
      </c>
      <c r="J503" t="str">
        <f t="shared" si="54"/>
        <v>917.53,</v>
      </c>
      <c r="K503" t="str">
        <f t="shared" si="55"/>
        <v>'BUY',</v>
      </c>
      <c r="L503" t="str">
        <f t="shared" si="56"/>
        <v>'2024-02-14 01:42:00'),</v>
      </c>
      <c r="M503" t="str">
        <f t="shared" si="57"/>
        <v>(7531,254,'META',917.53,'BUY','2024-02-14 01:42:00'),</v>
      </c>
    </row>
    <row r="504" spans="1:13" x14ac:dyDescent="0.2">
      <c r="A504">
        <v>5297</v>
      </c>
      <c r="B504">
        <v>213</v>
      </c>
      <c r="C504" t="s">
        <v>1063</v>
      </c>
      <c r="D504" t="s">
        <v>1568</v>
      </c>
      <c r="E504" t="s">
        <v>1068</v>
      </c>
      <c r="F504" s="8" t="s">
        <v>2564</v>
      </c>
      <c r="G504" t="str">
        <f t="shared" si="51"/>
        <v>(5297,</v>
      </c>
      <c r="H504" t="str">
        <f t="shared" si="52"/>
        <v>213,</v>
      </c>
      <c r="I504" t="str">
        <f t="shared" si="53"/>
        <v>'META',</v>
      </c>
      <c r="J504" t="str">
        <f t="shared" si="54"/>
        <v>617.87,</v>
      </c>
      <c r="K504" t="str">
        <f t="shared" si="55"/>
        <v>'BUY',</v>
      </c>
      <c r="L504" t="str">
        <f t="shared" si="56"/>
        <v>'2024-02-17 11:57:00'),</v>
      </c>
      <c r="M504" t="str">
        <f t="shared" si="57"/>
        <v>(5297,213,'META',617.87,'BUY','2024-02-17 11:57:00'),</v>
      </c>
    </row>
    <row r="505" spans="1:13" x14ac:dyDescent="0.2">
      <c r="A505">
        <v>7938</v>
      </c>
      <c r="B505">
        <v>367</v>
      </c>
      <c r="C505" t="s">
        <v>1063</v>
      </c>
      <c r="D505" t="s">
        <v>1569</v>
      </c>
      <c r="E505" t="s">
        <v>1068</v>
      </c>
      <c r="F505" s="8" t="s">
        <v>2565</v>
      </c>
      <c r="G505" t="str">
        <f t="shared" si="51"/>
        <v>(7938,</v>
      </c>
      <c r="H505" t="str">
        <f t="shared" si="52"/>
        <v>367,</v>
      </c>
      <c r="I505" t="str">
        <f t="shared" si="53"/>
        <v>'META',</v>
      </c>
      <c r="J505" t="str">
        <f t="shared" si="54"/>
        <v>425.46,</v>
      </c>
      <c r="K505" t="str">
        <f t="shared" si="55"/>
        <v>'BUY',</v>
      </c>
      <c r="L505" t="str">
        <f t="shared" si="56"/>
        <v>'2024-01-05 22:26:00'),</v>
      </c>
      <c r="M505" t="str">
        <f t="shared" si="57"/>
        <v>(7938,367,'META',425.46,'BUY','2024-01-05 22:26:00'),</v>
      </c>
    </row>
    <row r="506" spans="1:13" x14ac:dyDescent="0.2">
      <c r="A506">
        <v>7922</v>
      </c>
      <c r="B506">
        <v>570</v>
      </c>
      <c r="C506" t="s">
        <v>1069</v>
      </c>
      <c r="D506" t="s">
        <v>1570</v>
      </c>
      <c r="E506" t="s">
        <v>1068</v>
      </c>
      <c r="F506" s="8" t="s">
        <v>2566</v>
      </c>
      <c r="G506" t="str">
        <f t="shared" si="51"/>
        <v>(7922,</v>
      </c>
      <c r="H506" t="str">
        <f t="shared" si="52"/>
        <v>570,</v>
      </c>
      <c r="I506" t="str">
        <f t="shared" si="53"/>
        <v>'MSFT',</v>
      </c>
      <c r="J506" t="str">
        <f t="shared" si="54"/>
        <v>723.26,</v>
      </c>
      <c r="K506" t="str">
        <f t="shared" si="55"/>
        <v>'BUY',</v>
      </c>
      <c r="L506" t="str">
        <f t="shared" si="56"/>
        <v>'2024-03-31 12:42:00'),</v>
      </c>
      <c r="M506" t="str">
        <f t="shared" si="57"/>
        <v>(7922,570,'MSFT',723.26,'BUY','2024-03-31 12:42:00'),</v>
      </c>
    </row>
    <row r="507" spans="1:13" x14ac:dyDescent="0.2">
      <c r="A507">
        <v>5751</v>
      </c>
      <c r="B507">
        <v>908</v>
      </c>
      <c r="C507" t="s">
        <v>1069</v>
      </c>
      <c r="D507" t="s">
        <v>1571</v>
      </c>
      <c r="E507" t="s">
        <v>1062</v>
      </c>
      <c r="F507" s="8" t="s">
        <v>2567</v>
      </c>
      <c r="G507" t="str">
        <f t="shared" si="51"/>
        <v>(5751,</v>
      </c>
      <c r="H507" t="str">
        <f t="shared" si="52"/>
        <v>908,</v>
      </c>
      <c r="I507" t="str">
        <f t="shared" si="53"/>
        <v>'MSFT',</v>
      </c>
      <c r="J507" t="str">
        <f t="shared" si="54"/>
        <v>844.62,</v>
      </c>
      <c r="K507" t="str">
        <f t="shared" si="55"/>
        <v>'SELL',</v>
      </c>
      <c r="L507" t="str">
        <f t="shared" si="56"/>
        <v>'2024-04-29 10:01:00'),</v>
      </c>
      <c r="M507" t="str">
        <f t="shared" si="57"/>
        <v>(5751,908,'MSFT',844.62,'SELL','2024-04-29 10:01:00'),</v>
      </c>
    </row>
    <row r="508" spans="1:13" x14ac:dyDescent="0.2">
      <c r="A508">
        <v>5705</v>
      </c>
      <c r="B508">
        <v>389</v>
      </c>
      <c r="C508" t="s">
        <v>1063</v>
      </c>
      <c r="D508" t="s">
        <v>1572</v>
      </c>
      <c r="E508" t="s">
        <v>1068</v>
      </c>
      <c r="F508" s="8" t="s">
        <v>2568</v>
      </c>
      <c r="G508" t="str">
        <f t="shared" si="51"/>
        <v>(5705,</v>
      </c>
      <c r="H508" t="str">
        <f t="shared" si="52"/>
        <v>389,</v>
      </c>
      <c r="I508" t="str">
        <f t="shared" si="53"/>
        <v>'META',</v>
      </c>
      <c r="J508" t="str">
        <f t="shared" si="54"/>
        <v>703.15,</v>
      </c>
      <c r="K508" t="str">
        <f t="shared" si="55"/>
        <v>'BUY',</v>
      </c>
      <c r="L508" t="str">
        <f t="shared" si="56"/>
        <v>'2024-02-26 14:12:00'),</v>
      </c>
      <c r="M508" t="str">
        <f t="shared" si="57"/>
        <v>(5705,389,'META',703.15,'BUY','2024-02-26 14:12:00'),</v>
      </c>
    </row>
    <row r="509" spans="1:13" x14ac:dyDescent="0.2">
      <c r="A509">
        <v>5751</v>
      </c>
      <c r="B509">
        <v>78</v>
      </c>
      <c r="C509" t="s">
        <v>1060</v>
      </c>
      <c r="D509" t="s">
        <v>1573</v>
      </c>
      <c r="E509" t="s">
        <v>1062</v>
      </c>
      <c r="F509" s="8" t="s">
        <v>2569</v>
      </c>
      <c r="G509" t="str">
        <f t="shared" si="51"/>
        <v>(5751,</v>
      </c>
      <c r="H509" t="str">
        <f t="shared" si="52"/>
        <v>78,</v>
      </c>
      <c r="I509" t="str">
        <f t="shared" si="53"/>
        <v>'TSLA',</v>
      </c>
      <c r="J509" t="str">
        <f t="shared" si="54"/>
        <v>401.39,</v>
      </c>
      <c r="K509" t="str">
        <f t="shared" si="55"/>
        <v>'SELL',</v>
      </c>
      <c r="L509" t="str">
        <f t="shared" si="56"/>
        <v>'2024-02-15 00:39:00'),</v>
      </c>
      <c r="M509" t="str">
        <f t="shared" si="57"/>
        <v>(5751,78,'TSLA',401.39,'SELL','2024-02-15 00:39:00'),</v>
      </c>
    </row>
    <row r="510" spans="1:13" x14ac:dyDescent="0.2">
      <c r="A510">
        <v>4168</v>
      </c>
      <c r="B510">
        <v>470</v>
      </c>
      <c r="C510" t="s">
        <v>1066</v>
      </c>
      <c r="D510" t="s">
        <v>1574</v>
      </c>
      <c r="E510" t="s">
        <v>1068</v>
      </c>
      <c r="F510" s="8" t="s">
        <v>2570</v>
      </c>
      <c r="G510" t="str">
        <f t="shared" si="51"/>
        <v>(4168,</v>
      </c>
      <c r="H510" t="str">
        <f t="shared" si="52"/>
        <v>470,</v>
      </c>
      <c r="I510" t="str">
        <f t="shared" si="53"/>
        <v>'AMZN',</v>
      </c>
      <c r="J510" t="str">
        <f t="shared" si="54"/>
        <v>591.15,</v>
      </c>
      <c r="K510" t="str">
        <f t="shared" si="55"/>
        <v>'BUY',</v>
      </c>
      <c r="L510" t="str">
        <f t="shared" si="56"/>
        <v>'2024-05-10 05:12:00'),</v>
      </c>
      <c r="M510" t="str">
        <f t="shared" si="57"/>
        <v>(4168,470,'AMZN',591.15,'BUY','2024-05-10 05:12:00'),</v>
      </c>
    </row>
    <row r="511" spans="1:13" x14ac:dyDescent="0.2">
      <c r="A511">
        <v>1691</v>
      </c>
      <c r="B511">
        <v>4</v>
      </c>
      <c r="C511" t="s">
        <v>1063</v>
      </c>
      <c r="D511" t="s">
        <v>1575</v>
      </c>
      <c r="E511" t="s">
        <v>1068</v>
      </c>
      <c r="F511" s="8" t="s">
        <v>2571</v>
      </c>
      <c r="G511" t="str">
        <f t="shared" si="51"/>
        <v>(1691,</v>
      </c>
      <c r="H511" t="str">
        <f t="shared" si="52"/>
        <v>4,</v>
      </c>
      <c r="I511" t="str">
        <f t="shared" si="53"/>
        <v>'META',</v>
      </c>
      <c r="J511" t="str">
        <f t="shared" si="54"/>
        <v>234.11,</v>
      </c>
      <c r="K511" t="str">
        <f t="shared" si="55"/>
        <v>'BUY',</v>
      </c>
      <c r="L511" t="str">
        <f t="shared" si="56"/>
        <v>'2024-01-16 19:51:00'),</v>
      </c>
      <c r="M511" t="str">
        <f t="shared" si="57"/>
        <v>(1691,4,'META',234.11,'BUY','2024-01-16 19:51:00'),</v>
      </c>
    </row>
    <row r="512" spans="1:13" x14ac:dyDescent="0.2">
      <c r="A512">
        <v>5297</v>
      </c>
      <c r="B512">
        <v>276</v>
      </c>
      <c r="C512" t="s">
        <v>1060</v>
      </c>
      <c r="D512" t="s">
        <v>1576</v>
      </c>
      <c r="E512" t="s">
        <v>1062</v>
      </c>
      <c r="F512" s="8" t="s">
        <v>2572</v>
      </c>
      <c r="G512" t="str">
        <f t="shared" si="51"/>
        <v>(5297,</v>
      </c>
      <c r="H512" t="str">
        <f t="shared" si="52"/>
        <v>276,</v>
      </c>
      <c r="I512" t="str">
        <f t="shared" si="53"/>
        <v>'TSLA',</v>
      </c>
      <c r="J512" t="str">
        <f t="shared" si="54"/>
        <v>678.34,</v>
      </c>
      <c r="K512" t="str">
        <f t="shared" si="55"/>
        <v>'SELL',</v>
      </c>
      <c r="L512" t="str">
        <f t="shared" si="56"/>
        <v>'2024-05-23 23:33:00'),</v>
      </c>
      <c r="M512" t="str">
        <f t="shared" si="57"/>
        <v>(5297,276,'TSLA',678.34,'SELL','2024-05-23 23:33:00'),</v>
      </c>
    </row>
    <row r="513" spans="1:13" x14ac:dyDescent="0.2">
      <c r="A513">
        <v>7922</v>
      </c>
      <c r="B513">
        <v>689</v>
      </c>
      <c r="C513" t="s">
        <v>1066</v>
      </c>
      <c r="D513" t="s">
        <v>1577</v>
      </c>
      <c r="E513" t="s">
        <v>1068</v>
      </c>
      <c r="F513" s="8" t="s">
        <v>2573</v>
      </c>
      <c r="G513" t="str">
        <f t="shared" si="51"/>
        <v>(7922,</v>
      </c>
      <c r="H513" t="str">
        <f t="shared" si="52"/>
        <v>689,</v>
      </c>
      <c r="I513" t="str">
        <f t="shared" si="53"/>
        <v>'AMZN',</v>
      </c>
      <c r="J513" t="str">
        <f t="shared" si="54"/>
        <v>791.08,</v>
      </c>
      <c r="K513" t="str">
        <f t="shared" si="55"/>
        <v>'BUY',</v>
      </c>
      <c r="L513" t="str">
        <f t="shared" si="56"/>
        <v>'2024-02-06 11:07:00'),</v>
      </c>
      <c r="M513" t="str">
        <f t="shared" si="57"/>
        <v>(7922,689,'AMZN',791.08,'BUY','2024-02-06 11:07:00'),</v>
      </c>
    </row>
    <row r="514" spans="1:13" x14ac:dyDescent="0.2">
      <c r="A514">
        <v>5258</v>
      </c>
      <c r="B514">
        <v>718</v>
      </c>
      <c r="C514" t="s">
        <v>1060</v>
      </c>
      <c r="D514" t="s">
        <v>1578</v>
      </c>
      <c r="E514" t="s">
        <v>1068</v>
      </c>
      <c r="F514" s="8" t="s">
        <v>2574</v>
      </c>
      <c r="G514" t="str">
        <f t="shared" si="51"/>
        <v>(5258,</v>
      </c>
      <c r="H514" t="str">
        <f t="shared" si="52"/>
        <v>718,</v>
      </c>
      <c r="I514" t="str">
        <f t="shared" si="53"/>
        <v>'TSLA',</v>
      </c>
      <c r="J514" t="str">
        <f t="shared" si="54"/>
        <v>406.38,</v>
      </c>
      <c r="K514" t="str">
        <f t="shared" si="55"/>
        <v>'BUY',</v>
      </c>
      <c r="L514" t="str">
        <f t="shared" si="56"/>
        <v>'2024-03-15 15:22:00'),</v>
      </c>
      <c r="M514" t="str">
        <f t="shared" si="57"/>
        <v>(5258,718,'TSLA',406.38,'BUY','2024-03-15 15:22:00'),</v>
      </c>
    </row>
    <row r="515" spans="1:13" x14ac:dyDescent="0.2">
      <c r="A515">
        <v>1691</v>
      </c>
      <c r="B515">
        <v>369</v>
      </c>
      <c r="C515" t="s">
        <v>1069</v>
      </c>
      <c r="D515" t="s">
        <v>1579</v>
      </c>
      <c r="E515" t="s">
        <v>1068</v>
      </c>
      <c r="F515" s="8" t="s">
        <v>2575</v>
      </c>
      <c r="G515" t="str">
        <f t="shared" ref="G515:G578" si="58">"("&amp;A515&amp;","</f>
        <v>(1691,</v>
      </c>
      <c r="H515" t="str">
        <f t="shared" ref="H515:H578" si="59">B515&amp;","</f>
        <v>369,</v>
      </c>
      <c r="I515" t="str">
        <f t="shared" ref="I515:I578" si="60">"'"&amp;C515&amp;"',"</f>
        <v>'MSFT',</v>
      </c>
      <c r="J515" t="str">
        <f t="shared" ref="J515:J578" si="61">D515&amp;","</f>
        <v>651.43,</v>
      </c>
      <c r="K515" t="str">
        <f t="shared" ref="K515:K578" si="62">"'"&amp;E515&amp;"',"</f>
        <v>'BUY',</v>
      </c>
      <c r="L515" t="str">
        <f t="shared" ref="L515:L578" si="63">"'"&amp;F515&amp;"'),"</f>
        <v>'2024-03-04 18:53:00'),</v>
      </c>
      <c r="M515" t="str">
        <f t="shared" ref="M515:M578" si="64">G515&amp;H515&amp;I515&amp;J515&amp;K515&amp;L515</f>
        <v>(1691,369,'MSFT',651.43,'BUY','2024-03-04 18:53:00'),</v>
      </c>
    </row>
    <row r="516" spans="1:13" x14ac:dyDescent="0.2">
      <c r="A516">
        <v>4710</v>
      </c>
      <c r="B516">
        <v>656</v>
      </c>
      <c r="C516" t="s">
        <v>1069</v>
      </c>
      <c r="D516" t="s">
        <v>1580</v>
      </c>
      <c r="E516" t="s">
        <v>1068</v>
      </c>
      <c r="F516" s="8" t="s">
        <v>2576</v>
      </c>
      <c r="G516" t="str">
        <f t="shared" si="58"/>
        <v>(4710,</v>
      </c>
      <c r="H516" t="str">
        <f t="shared" si="59"/>
        <v>656,</v>
      </c>
      <c r="I516" t="str">
        <f t="shared" si="60"/>
        <v>'MSFT',</v>
      </c>
      <c r="J516" t="str">
        <f t="shared" si="61"/>
        <v>151.91,</v>
      </c>
      <c r="K516" t="str">
        <f t="shared" si="62"/>
        <v>'BUY',</v>
      </c>
      <c r="L516" t="str">
        <f t="shared" si="63"/>
        <v>'2024-05-20 19:33:00'),</v>
      </c>
      <c r="M516" t="str">
        <f t="shared" si="64"/>
        <v>(4710,656,'MSFT',151.91,'BUY','2024-05-20 19:33:00'),</v>
      </c>
    </row>
    <row r="517" spans="1:13" x14ac:dyDescent="0.2">
      <c r="A517">
        <v>1691</v>
      </c>
      <c r="B517">
        <v>856</v>
      </c>
      <c r="C517" t="s">
        <v>1063</v>
      </c>
      <c r="D517" t="s">
        <v>1581</v>
      </c>
      <c r="E517" t="s">
        <v>1062</v>
      </c>
      <c r="F517" s="8" t="s">
        <v>2577</v>
      </c>
      <c r="G517" t="str">
        <f t="shared" si="58"/>
        <v>(1691,</v>
      </c>
      <c r="H517" t="str">
        <f t="shared" si="59"/>
        <v>856,</v>
      </c>
      <c r="I517" t="str">
        <f t="shared" si="60"/>
        <v>'META',</v>
      </c>
      <c r="J517" t="str">
        <f t="shared" si="61"/>
        <v>218.14,</v>
      </c>
      <c r="K517" t="str">
        <f t="shared" si="62"/>
        <v>'SELL',</v>
      </c>
      <c r="L517" t="str">
        <f t="shared" si="63"/>
        <v>'2024-02-22 21:51:00'),</v>
      </c>
      <c r="M517" t="str">
        <f t="shared" si="64"/>
        <v>(1691,856,'META',218.14,'SELL','2024-02-22 21:51:00'),</v>
      </c>
    </row>
    <row r="518" spans="1:13" x14ac:dyDescent="0.2">
      <c r="A518">
        <v>6298</v>
      </c>
      <c r="B518">
        <v>852</v>
      </c>
      <c r="C518" t="s">
        <v>1063</v>
      </c>
      <c r="D518" t="s">
        <v>1582</v>
      </c>
      <c r="E518" t="s">
        <v>1062</v>
      </c>
      <c r="F518" s="8" t="s">
        <v>2578</v>
      </c>
      <c r="G518" t="str">
        <f t="shared" si="58"/>
        <v>(6298,</v>
      </c>
      <c r="H518" t="str">
        <f t="shared" si="59"/>
        <v>852,</v>
      </c>
      <c r="I518" t="str">
        <f t="shared" si="60"/>
        <v>'META',</v>
      </c>
      <c r="J518" t="str">
        <f t="shared" si="61"/>
        <v>799.83,</v>
      </c>
      <c r="K518" t="str">
        <f t="shared" si="62"/>
        <v>'SELL',</v>
      </c>
      <c r="L518" t="str">
        <f t="shared" si="63"/>
        <v>'2024-01-13 09:41:00'),</v>
      </c>
      <c r="M518" t="str">
        <f t="shared" si="64"/>
        <v>(6298,852,'META',799.83,'SELL','2024-01-13 09:41:00'),</v>
      </c>
    </row>
    <row r="519" spans="1:13" x14ac:dyDescent="0.2">
      <c r="A519">
        <v>4168</v>
      </c>
      <c r="B519">
        <v>357</v>
      </c>
      <c r="C519" t="s">
        <v>1066</v>
      </c>
      <c r="D519" t="s">
        <v>1583</v>
      </c>
      <c r="E519" t="s">
        <v>1062</v>
      </c>
      <c r="F519" s="8" t="s">
        <v>2579</v>
      </c>
      <c r="G519" t="str">
        <f t="shared" si="58"/>
        <v>(4168,</v>
      </c>
      <c r="H519" t="str">
        <f t="shared" si="59"/>
        <v>357,</v>
      </c>
      <c r="I519" t="str">
        <f t="shared" si="60"/>
        <v>'AMZN',</v>
      </c>
      <c r="J519" t="str">
        <f t="shared" si="61"/>
        <v>950.87,</v>
      </c>
      <c r="K519" t="str">
        <f t="shared" si="62"/>
        <v>'SELL',</v>
      </c>
      <c r="L519" t="str">
        <f t="shared" si="63"/>
        <v>'2024-03-14 18:20:00'),</v>
      </c>
      <c r="M519" t="str">
        <f t="shared" si="64"/>
        <v>(4168,357,'AMZN',950.87,'SELL','2024-03-14 18:20:00'),</v>
      </c>
    </row>
    <row r="520" spans="1:13" x14ac:dyDescent="0.2">
      <c r="A520">
        <v>7938</v>
      </c>
      <c r="B520">
        <v>8</v>
      </c>
      <c r="C520" t="s">
        <v>1060</v>
      </c>
      <c r="D520" t="s">
        <v>1584</v>
      </c>
      <c r="E520" t="s">
        <v>1068</v>
      </c>
      <c r="F520" s="8" t="s">
        <v>2580</v>
      </c>
      <c r="G520" t="str">
        <f t="shared" si="58"/>
        <v>(7938,</v>
      </c>
      <c r="H520" t="str">
        <f t="shared" si="59"/>
        <v>8,</v>
      </c>
      <c r="I520" t="str">
        <f t="shared" si="60"/>
        <v>'TSLA',</v>
      </c>
      <c r="J520" t="str">
        <f t="shared" si="61"/>
        <v>690.59,</v>
      </c>
      <c r="K520" t="str">
        <f t="shared" si="62"/>
        <v>'BUY',</v>
      </c>
      <c r="L520" t="str">
        <f t="shared" si="63"/>
        <v>'2024-03-13 07:06:00'),</v>
      </c>
      <c r="M520" t="str">
        <f t="shared" si="64"/>
        <v>(7938,8,'TSLA',690.59,'BUY','2024-03-13 07:06:00'),</v>
      </c>
    </row>
    <row r="521" spans="1:13" x14ac:dyDescent="0.2">
      <c r="A521">
        <v>5297</v>
      </c>
      <c r="B521">
        <v>301</v>
      </c>
      <c r="C521" t="s">
        <v>1060</v>
      </c>
      <c r="D521" t="s">
        <v>1585</v>
      </c>
      <c r="E521" t="s">
        <v>1062</v>
      </c>
      <c r="F521" s="8" t="s">
        <v>2581</v>
      </c>
      <c r="G521" t="str">
        <f t="shared" si="58"/>
        <v>(5297,</v>
      </c>
      <c r="H521" t="str">
        <f t="shared" si="59"/>
        <v>301,</v>
      </c>
      <c r="I521" t="str">
        <f t="shared" si="60"/>
        <v>'TSLA',</v>
      </c>
      <c r="J521" t="str">
        <f t="shared" si="61"/>
        <v>315.85,</v>
      </c>
      <c r="K521" t="str">
        <f t="shared" si="62"/>
        <v>'SELL',</v>
      </c>
      <c r="L521" t="str">
        <f t="shared" si="63"/>
        <v>'2024-03-05 13:56:00'),</v>
      </c>
      <c r="M521" t="str">
        <f t="shared" si="64"/>
        <v>(5297,301,'TSLA',315.85,'SELL','2024-03-05 13:56:00'),</v>
      </c>
    </row>
    <row r="522" spans="1:13" x14ac:dyDescent="0.2">
      <c r="A522">
        <v>5705</v>
      </c>
      <c r="B522">
        <v>761</v>
      </c>
      <c r="C522" t="s">
        <v>1063</v>
      </c>
      <c r="D522" t="s">
        <v>1586</v>
      </c>
      <c r="E522" t="s">
        <v>1068</v>
      </c>
      <c r="F522" s="8" t="s">
        <v>2582</v>
      </c>
      <c r="G522" t="str">
        <f t="shared" si="58"/>
        <v>(5705,</v>
      </c>
      <c r="H522" t="str">
        <f t="shared" si="59"/>
        <v>761,</v>
      </c>
      <c r="I522" t="str">
        <f t="shared" si="60"/>
        <v>'META',</v>
      </c>
      <c r="J522" t="str">
        <f t="shared" si="61"/>
        <v>736.09,</v>
      </c>
      <c r="K522" t="str">
        <f t="shared" si="62"/>
        <v>'BUY',</v>
      </c>
      <c r="L522" t="str">
        <f t="shared" si="63"/>
        <v>'2024-01-05 01:52:00'),</v>
      </c>
      <c r="M522" t="str">
        <f t="shared" si="64"/>
        <v>(5705,761,'META',736.09,'BUY','2024-01-05 01:52:00'),</v>
      </c>
    </row>
    <row r="523" spans="1:13" x14ac:dyDescent="0.2">
      <c r="A523">
        <v>1691</v>
      </c>
      <c r="B523">
        <v>296</v>
      </c>
      <c r="C523" t="s">
        <v>1060</v>
      </c>
      <c r="D523" t="s">
        <v>1587</v>
      </c>
      <c r="E523" t="s">
        <v>1068</v>
      </c>
      <c r="F523" s="8" t="s">
        <v>2583</v>
      </c>
      <c r="G523" t="str">
        <f t="shared" si="58"/>
        <v>(1691,</v>
      </c>
      <c r="H523" t="str">
        <f t="shared" si="59"/>
        <v>296,</v>
      </c>
      <c r="I523" t="str">
        <f t="shared" si="60"/>
        <v>'TSLA',</v>
      </c>
      <c r="J523" t="str">
        <f t="shared" si="61"/>
        <v>602.21,</v>
      </c>
      <c r="K523" t="str">
        <f t="shared" si="62"/>
        <v>'BUY',</v>
      </c>
      <c r="L523" t="str">
        <f t="shared" si="63"/>
        <v>'2024-05-05 20:29:00'),</v>
      </c>
      <c r="M523" t="str">
        <f t="shared" si="64"/>
        <v>(1691,296,'TSLA',602.21,'BUY','2024-05-05 20:29:00'),</v>
      </c>
    </row>
    <row r="524" spans="1:13" x14ac:dyDescent="0.2">
      <c r="A524">
        <v>5751</v>
      </c>
      <c r="B524">
        <v>125</v>
      </c>
      <c r="C524" t="s">
        <v>1069</v>
      </c>
      <c r="D524" t="s">
        <v>1588</v>
      </c>
      <c r="E524" t="s">
        <v>1062</v>
      </c>
      <c r="F524" s="8" t="s">
        <v>2584</v>
      </c>
      <c r="G524" t="str">
        <f t="shared" si="58"/>
        <v>(5751,</v>
      </c>
      <c r="H524" t="str">
        <f t="shared" si="59"/>
        <v>125,</v>
      </c>
      <c r="I524" t="str">
        <f t="shared" si="60"/>
        <v>'MSFT',</v>
      </c>
      <c r="J524" t="str">
        <f t="shared" si="61"/>
        <v>108.52,</v>
      </c>
      <c r="K524" t="str">
        <f t="shared" si="62"/>
        <v>'SELL',</v>
      </c>
      <c r="L524" t="str">
        <f t="shared" si="63"/>
        <v>'2024-05-19 00:56:00'),</v>
      </c>
      <c r="M524" t="str">
        <f t="shared" si="64"/>
        <v>(5751,125,'MSFT',108.52,'SELL','2024-05-19 00:56:00'),</v>
      </c>
    </row>
    <row r="525" spans="1:13" x14ac:dyDescent="0.2">
      <c r="A525">
        <v>4710</v>
      </c>
      <c r="B525">
        <v>613</v>
      </c>
      <c r="C525" t="s">
        <v>1063</v>
      </c>
      <c r="D525" t="s">
        <v>1589</v>
      </c>
      <c r="E525" t="s">
        <v>1068</v>
      </c>
      <c r="F525" s="8" t="s">
        <v>2585</v>
      </c>
      <c r="G525" t="str">
        <f t="shared" si="58"/>
        <v>(4710,</v>
      </c>
      <c r="H525" t="str">
        <f t="shared" si="59"/>
        <v>613,</v>
      </c>
      <c r="I525" t="str">
        <f t="shared" si="60"/>
        <v>'META',</v>
      </c>
      <c r="J525" t="str">
        <f t="shared" si="61"/>
        <v>827.31,</v>
      </c>
      <c r="K525" t="str">
        <f t="shared" si="62"/>
        <v>'BUY',</v>
      </c>
      <c r="L525" t="str">
        <f t="shared" si="63"/>
        <v>'2024-01-22 16:46:00'),</v>
      </c>
      <c r="M525" t="str">
        <f t="shared" si="64"/>
        <v>(4710,613,'META',827.31,'BUY','2024-01-22 16:46:00'),</v>
      </c>
    </row>
    <row r="526" spans="1:13" x14ac:dyDescent="0.2">
      <c r="A526">
        <v>5297</v>
      </c>
      <c r="B526">
        <v>944</v>
      </c>
      <c r="C526" t="s">
        <v>1060</v>
      </c>
      <c r="D526" t="s">
        <v>1590</v>
      </c>
      <c r="E526" t="s">
        <v>1068</v>
      </c>
      <c r="F526" s="8" t="s">
        <v>2586</v>
      </c>
      <c r="G526" t="str">
        <f t="shared" si="58"/>
        <v>(5297,</v>
      </c>
      <c r="H526" t="str">
        <f t="shared" si="59"/>
        <v>944,</v>
      </c>
      <c r="I526" t="str">
        <f t="shared" si="60"/>
        <v>'TSLA',</v>
      </c>
      <c r="J526" t="str">
        <f t="shared" si="61"/>
        <v>894.91,</v>
      </c>
      <c r="K526" t="str">
        <f t="shared" si="62"/>
        <v>'BUY',</v>
      </c>
      <c r="L526" t="str">
        <f t="shared" si="63"/>
        <v>'2024-05-24 07:17:00'),</v>
      </c>
      <c r="M526" t="str">
        <f t="shared" si="64"/>
        <v>(5297,944,'TSLA',894.91,'BUY','2024-05-24 07:17:00'),</v>
      </c>
    </row>
    <row r="527" spans="1:13" x14ac:dyDescent="0.2">
      <c r="A527">
        <v>1691</v>
      </c>
      <c r="B527">
        <v>460</v>
      </c>
      <c r="C527" t="s">
        <v>1063</v>
      </c>
      <c r="D527" t="s">
        <v>1591</v>
      </c>
      <c r="E527" t="s">
        <v>1068</v>
      </c>
      <c r="F527" s="8" t="s">
        <v>2587</v>
      </c>
      <c r="G527" t="str">
        <f t="shared" si="58"/>
        <v>(1691,</v>
      </c>
      <c r="H527" t="str">
        <f t="shared" si="59"/>
        <v>460,</v>
      </c>
      <c r="I527" t="str">
        <f t="shared" si="60"/>
        <v>'META',</v>
      </c>
      <c r="J527" t="str">
        <f t="shared" si="61"/>
        <v>293.19,</v>
      </c>
      <c r="K527" t="str">
        <f t="shared" si="62"/>
        <v>'BUY',</v>
      </c>
      <c r="L527" t="str">
        <f t="shared" si="63"/>
        <v>'2024-02-20 13:08:00'),</v>
      </c>
      <c r="M527" t="str">
        <f t="shared" si="64"/>
        <v>(1691,460,'META',293.19,'BUY','2024-02-20 13:08:00'),</v>
      </c>
    </row>
    <row r="528" spans="1:13" x14ac:dyDescent="0.2">
      <c r="A528">
        <v>6298</v>
      </c>
      <c r="B528">
        <v>663</v>
      </c>
      <c r="C528" t="s">
        <v>1066</v>
      </c>
      <c r="D528" t="s">
        <v>1592</v>
      </c>
      <c r="E528" t="s">
        <v>1068</v>
      </c>
      <c r="F528" s="8" t="s">
        <v>2588</v>
      </c>
      <c r="G528" t="str">
        <f t="shared" si="58"/>
        <v>(6298,</v>
      </c>
      <c r="H528" t="str">
        <f t="shared" si="59"/>
        <v>663,</v>
      </c>
      <c r="I528" t="str">
        <f t="shared" si="60"/>
        <v>'AMZN',</v>
      </c>
      <c r="J528" t="str">
        <f t="shared" si="61"/>
        <v>444.45,</v>
      </c>
      <c r="K528" t="str">
        <f t="shared" si="62"/>
        <v>'BUY',</v>
      </c>
      <c r="L528" t="str">
        <f t="shared" si="63"/>
        <v>'2024-04-08 11:45:00'),</v>
      </c>
      <c r="M528" t="str">
        <f t="shared" si="64"/>
        <v>(6298,663,'AMZN',444.45,'BUY','2024-04-08 11:45:00'),</v>
      </c>
    </row>
    <row r="529" spans="1:13" x14ac:dyDescent="0.2">
      <c r="A529">
        <v>4669</v>
      </c>
      <c r="B529">
        <v>559</v>
      </c>
      <c r="C529" t="s">
        <v>1069</v>
      </c>
      <c r="D529" t="s">
        <v>1593</v>
      </c>
      <c r="E529" t="s">
        <v>1062</v>
      </c>
      <c r="F529" s="8" t="s">
        <v>2589</v>
      </c>
      <c r="G529" t="str">
        <f t="shared" si="58"/>
        <v>(4669,</v>
      </c>
      <c r="H529" t="str">
        <f t="shared" si="59"/>
        <v>559,</v>
      </c>
      <c r="I529" t="str">
        <f t="shared" si="60"/>
        <v>'MSFT',</v>
      </c>
      <c r="J529" t="str">
        <f t="shared" si="61"/>
        <v>256.72,</v>
      </c>
      <c r="K529" t="str">
        <f t="shared" si="62"/>
        <v>'SELL',</v>
      </c>
      <c r="L529" t="str">
        <f t="shared" si="63"/>
        <v>'2024-02-21 23:40:00'),</v>
      </c>
      <c r="M529" t="str">
        <f t="shared" si="64"/>
        <v>(4669,559,'MSFT',256.72,'SELL','2024-02-21 23:40:00'),</v>
      </c>
    </row>
    <row r="530" spans="1:13" x14ac:dyDescent="0.2">
      <c r="A530">
        <v>7531</v>
      </c>
      <c r="B530">
        <v>159</v>
      </c>
      <c r="C530" t="s">
        <v>1063</v>
      </c>
      <c r="D530" t="s">
        <v>1594</v>
      </c>
      <c r="E530" t="s">
        <v>1068</v>
      </c>
      <c r="F530" s="8" t="s">
        <v>2590</v>
      </c>
      <c r="G530" t="str">
        <f t="shared" si="58"/>
        <v>(7531,</v>
      </c>
      <c r="H530" t="str">
        <f t="shared" si="59"/>
        <v>159,</v>
      </c>
      <c r="I530" t="str">
        <f t="shared" si="60"/>
        <v>'META',</v>
      </c>
      <c r="J530" t="str">
        <f t="shared" si="61"/>
        <v>906.42,</v>
      </c>
      <c r="K530" t="str">
        <f t="shared" si="62"/>
        <v>'BUY',</v>
      </c>
      <c r="L530" t="str">
        <f t="shared" si="63"/>
        <v>'2024-01-22 08:13:00'),</v>
      </c>
      <c r="M530" t="str">
        <f t="shared" si="64"/>
        <v>(7531,159,'META',906.42,'BUY','2024-01-22 08:13:00'),</v>
      </c>
    </row>
    <row r="531" spans="1:13" x14ac:dyDescent="0.2">
      <c r="A531">
        <v>5297</v>
      </c>
      <c r="B531">
        <v>807</v>
      </c>
      <c r="C531" t="s">
        <v>1063</v>
      </c>
      <c r="D531" t="s">
        <v>1595</v>
      </c>
      <c r="E531" t="s">
        <v>1062</v>
      </c>
      <c r="F531" s="8" t="s">
        <v>2591</v>
      </c>
      <c r="G531" t="str">
        <f t="shared" si="58"/>
        <v>(5297,</v>
      </c>
      <c r="H531" t="str">
        <f t="shared" si="59"/>
        <v>807,</v>
      </c>
      <c r="I531" t="str">
        <f t="shared" si="60"/>
        <v>'META',</v>
      </c>
      <c r="J531" t="str">
        <f t="shared" si="61"/>
        <v>953.23,</v>
      </c>
      <c r="K531" t="str">
        <f t="shared" si="62"/>
        <v>'SELL',</v>
      </c>
      <c r="L531" t="str">
        <f t="shared" si="63"/>
        <v>'2024-02-12 19:50:00'),</v>
      </c>
      <c r="M531" t="str">
        <f t="shared" si="64"/>
        <v>(5297,807,'META',953.23,'SELL','2024-02-12 19:50:00'),</v>
      </c>
    </row>
    <row r="532" spans="1:13" x14ac:dyDescent="0.2">
      <c r="A532">
        <v>4168</v>
      </c>
      <c r="B532">
        <v>187</v>
      </c>
      <c r="C532" t="s">
        <v>1069</v>
      </c>
      <c r="D532" t="s">
        <v>1596</v>
      </c>
      <c r="E532" t="s">
        <v>1062</v>
      </c>
      <c r="F532" s="8" t="s">
        <v>2592</v>
      </c>
      <c r="G532" t="str">
        <f t="shared" si="58"/>
        <v>(4168,</v>
      </c>
      <c r="H532" t="str">
        <f t="shared" si="59"/>
        <v>187,</v>
      </c>
      <c r="I532" t="str">
        <f t="shared" si="60"/>
        <v>'MSFT',</v>
      </c>
      <c r="J532" t="str">
        <f t="shared" si="61"/>
        <v>327.69,</v>
      </c>
      <c r="K532" t="str">
        <f t="shared" si="62"/>
        <v>'SELL',</v>
      </c>
      <c r="L532" t="str">
        <f t="shared" si="63"/>
        <v>'2024-02-04 16:39:00'),</v>
      </c>
      <c r="M532" t="str">
        <f t="shared" si="64"/>
        <v>(4168,187,'MSFT',327.69,'SELL','2024-02-04 16:39:00'),</v>
      </c>
    </row>
    <row r="533" spans="1:13" x14ac:dyDescent="0.2">
      <c r="A533">
        <v>9094</v>
      </c>
      <c r="B533">
        <v>990</v>
      </c>
      <c r="C533" t="s">
        <v>1069</v>
      </c>
      <c r="D533" t="s">
        <v>1597</v>
      </c>
      <c r="E533" t="s">
        <v>1062</v>
      </c>
      <c r="F533" s="8" t="s">
        <v>2593</v>
      </c>
      <c r="G533" t="str">
        <f t="shared" si="58"/>
        <v>(9094,</v>
      </c>
      <c r="H533" t="str">
        <f t="shared" si="59"/>
        <v>990,</v>
      </c>
      <c r="I533" t="str">
        <f t="shared" si="60"/>
        <v>'MSFT',</v>
      </c>
      <c r="J533" t="str">
        <f t="shared" si="61"/>
        <v>882.59,</v>
      </c>
      <c r="K533" t="str">
        <f t="shared" si="62"/>
        <v>'SELL',</v>
      </c>
      <c r="L533" t="str">
        <f t="shared" si="63"/>
        <v>'2024-03-20 08:02:00'),</v>
      </c>
      <c r="M533" t="str">
        <f t="shared" si="64"/>
        <v>(9094,990,'MSFT',882.59,'SELL','2024-03-20 08:02:00'),</v>
      </c>
    </row>
    <row r="534" spans="1:13" x14ac:dyDescent="0.2">
      <c r="A534">
        <v>7938</v>
      </c>
      <c r="B534">
        <v>631</v>
      </c>
      <c r="C534" t="s">
        <v>1063</v>
      </c>
      <c r="D534" t="s">
        <v>1598</v>
      </c>
      <c r="E534" t="s">
        <v>1062</v>
      </c>
      <c r="F534" s="8" t="s">
        <v>2594</v>
      </c>
      <c r="G534" t="str">
        <f t="shared" si="58"/>
        <v>(7938,</v>
      </c>
      <c r="H534" t="str">
        <f t="shared" si="59"/>
        <v>631,</v>
      </c>
      <c r="I534" t="str">
        <f t="shared" si="60"/>
        <v>'META',</v>
      </c>
      <c r="J534" t="str">
        <f t="shared" si="61"/>
        <v>778.62,</v>
      </c>
      <c r="K534" t="str">
        <f t="shared" si="62"/>
        <v>'SELL',</v>
      </c>
      <c r="L534" t="str">
        <f t="shared" si="63"/>
        <v>'2024-03-04 20:17:00'),</v>
      </c>
      <c r="M534" t="str">
        <f t="shared" si="64"/>
        <v>(7938,631,'META',778.62,'SELL','2024-03-04 20:17:00'),</v>
      </c>
    </row>
    <row r="535" spans="1:13" x14ac:dyDescent="0.2">
      <c r="A535">
        <v>4710</v>
      </c>
      <c r="B535">
        <v>925</v>
      </c>
      <c r="C535" t="s">
        <v>1063</v>
      </c>
      <c r="D535" t="s">
        <v>1599</v>
      </c>
      <c r="E535" t="s">
        <v>1062</v>
      </c>
      <c r="F535" s="8" t="s">
        <v>2595</v>
      </c>
      <c r="G535" t="str">
        <f t="shared" si="58"/>
        <v>(4710,</v>
      </c>
      <c r="H535" t="str">
        <f t="shared" si="59"/>
        <v>925,</v>
      </c>
      <c r="I535" t="str">
        <f t="shared" si="60"/>
        <v>'META',</v>
      </c>
      <c r="J535" t="str">
        <f t="shared" si="61"/>
        <v>311.98,</v>
      </c>
      <c r="K535" t="str">
        <f t="shared" si="62"/>
        <v>'SELL',</v>
      </c>
      <c r="L535" t="str">
        <f t="shared" si="63"/>
        <v>'2024-03-11 12:58:00'),</v>
      </c>
      <c r="M535" t="str">
        <f t="shared" si="64"/>
        <v>(4710,925,'META',311.98,'SELL','2024-03-11 12:58:00'),</v>
      </c>
    </row>
    <row r="536" spans="1:13" x14ac:dyDescent="0.2">
      <c r="A536">
        <v>7531</v>
      </c>
      <c r="B536">
        <v>920</v>
      </c>
      <c r="C536" t="s">
        <v>1069</v>
      </c>
      <c r="D536" t="s">
        <v>1600</v>
      </c>
      <c r="E536" t="s">
        <v>1068</v>
      </c>
      <c r="F536" s="8" t="s">
        <v>2596</v>
      </c>
      <c r="G536" t="str">
        <f t="shared" si="58"/>
        <v>(7531,</v>
      </c>
      <c r="H536" t="str">
        <f t="shared" si="59"/>
        <v>920,</v>
      </c>
      <c r="I536" t="str">
        <f t="shared" si="60"/>
        <v>'MSFT',</v>
      </c>
      <c r="J536" t="str">
        <f t="shared" si="61"/>
        <v>612.42,</v>
      </c>
      <c r="K536" t="str">
        <f t="shared" si="62"/>
        <v>'BUY',</v>
      </c>
      <c r="L536" t="str">
        <f t="shared" si="63"/>
        <v>'2024-03-10 12:59:00'),</v>
      </c>
      <c r="M536" t="str">
        <f t="shared" si="64"/>
        <v>(7531,920,'MSFT',612.42,'BUY','2024-03-10 12:59:00'),</v>
      </c>
    </row>
    <row r="537" spans="1:13" x14ac:dyDescent="0.2">
      <c r="A537">
        <v>7938</v>
      </c>
      <c r="B537">
        <v>861</v>
      </c>
      <c r="C537" t="s">
        <v>1060</v>
      </c>
      <c r="D537" t="s">
        <v>1601</v>
      </c>
      <c r="E537" t="s">
        <v>1068</v>
      </c>
      <c r="F537" s="8" t="s">
        <v>2597</v>
      </c>
      <c r="G537" t="str">
        <f t="shared" si="58"/>
        <v>(7938,</v>
      </c>
      <c r="H537" t="str">
        <f t="shared" si="59"/>
        <v>861,</v>
      </c>
      <c r="I537" t="str">
        <f t="shared" si="60"/>
        <v>'TSLA',</v>
      </c>
      <c r="J537" t="str">
        <f t="shared" si="61"/>
        <v>680.78,</v>
      </c>
      <c r="K537" t="str">
        <f t="shared" si="62"/>
        <v>'BUY',</v>
      </c>
      <c r="L537" t="str">
        <f t="shared" si="63"/>
        <v>'2024-01-10 12:52:00'),</v>
      </c>
      <c r="M537" t="str">
        <f t="shared" si="64"/>
        <v>(7938,861,'TSLA',680.78,'BUY','2024-01-10 12:52:00'),</v>
      </c>
    </row>
    <row r="538" spans="1:13" x14ac:dyDescent="0.2">
      <c r="A538">
        <v>4710</v>
      </c>
      <c r="B538">
        <v>402</v>
      </c>
      <c r="C538" t="s">
        <v>1060</v>
      </c>
      <c r="D538" t="s">
        <v>1602</v>
      </c>
      <c r="E538" t="s">
        <v>1068</v>
      </c>
      <c r="F538" s="8" t="s">
        <v>2598</v>
      </c>
      <c r="G538" t="str">
        <f t="shared" si="58"/>
        <v>(4710,</v>
      </c>
      <c r="H538" t="str">
        <f t="shared" si="59"/>
        <v>402,</v>
      </c>
      <c r="I538" t="str">
        <f t="shared" si="60"/>
        <v>'TSLA',</v>
      </c>
      <c r="J538" t="str">
        <f t="shared" si="61"/>
        <v>656.1,</v>
      </c>
      <c r="K538" t="str">
        <f t="shared" si="62"/>
        <v>'BUY',</v>
      </c>
      <c r="L538" t="str">
        <f t="shared" si="63"/>
        <v>'2024-02-05 05:49:00'),</v>
      </c>
      <c r="M538" t="str">
        <f t="shared" si="64"/>
        <v>(4710,402,'TSLA',656.1,'BUY','2024-02-05 05:49:00'),</v>
      </c>
    </row>
    <row r="539" spans="1:13" x14ac:dyDescent="0.2">
      <c r="A539">
        <v>7531</v>
      </c>
      <c r="B539">
        <v>210</v>
      </c>
      <c r="C539" t="s">
        <v>1066</v>
      </c>
      <c r="D539" t="s">
        <v>1603</v>
      </c>
      <c r="E539" t="s">
        <v>1068</v>
      </c>
      <c r="F539" s="8" t="s">
        <v>2599</v>
      </c>
      <c r="G539" t="str">
        <f t="shared" si="58"/>
        <v>(7531,</v>
      </c>
      <c r="H539" t="str">
        <f t="shared" si="59"/>
        <v>210,</v>
      </c>
      <c r="I539" t="str">
        <f t="shared" si="60"/>
        <v>'AMZN',</v>
      </c>
      <c r="J539" t="str">
        <f t="shared" si="61"/>
        <v>770.04,</v>
      </c>
      <c r="K539" t="str">
        <f t="shared" si="62"/>
        <v>'BUY',</v>
      </c>
      <c r="L539" t="str">
        <f t="shared" si="63"/>
        <v>'2024-02-21 04:08:00'),</v>
      </c>
      <c r="M539" t="str">
        <f t="shared" si="64"/>
        <v>(7531,210,'AMZN',770.04,'BUY','2024-02-21 04:08:00'),</v>
      </c>
    </row>
    <row r="540" spans="1:13" x14ac:dyDescent="0.2">
      <c r="A540">
        <v>9952</v>
      </c>
      <c r="B540">
        <v>16</v>
      </c>
      <c r="C540" t="s">
        <v>1069</v>
      </c>
      <c r="D540" t="s">
        <v>1604</v>
      </c>
      <c r="E540" t="s">
        <v>1068</v>
      </c>
      <c r="F540" s="8" t="s">
        <v>2600</v>
      </c>
      <c r="G540" t="str">
        <f t="shared" si="58"/>
        <v>(9952,</v>
      </c>
      <c r="H540" t="str">
        <f t="shared" si="59"/>
        <v>16,</v>
      </c>
      <c r="I540" t="str">
        <f t="shared" si="60"/>
        <v>'MSFT',</v>
      </c>
      <c r="J540" t="str">
        <f t="shared" si="61"/>
        <v>643.9,</v>
      </c>
      <c r="K540" t="str">
        <f t="shared" si="62"/>
        <v>'BUY',</v>
      </c>
      <c r="L540" t="str">
        <f t="shared" si="63"/>
        <v>'2024-04-28 20:30:00'),</v>
      </c>
      <c r="M540" t="str">
        <f t="shared" si="64"/>
        <v>(9952,16,'MSFT',643.9,'BUY','2024-04-28 20:30:00'),</v>
      </c>
    </row>
    <row r="541" spans="1:13" x14ac:dyDescent="0.2">
      <c r="A541">
        <v>2941</v>
      </c>
      <c r="B541">
        <v>404</v>
      </c>
      <c r="C541" t="s">
        <v>1060</v>
      </c>
      <c r="D541" t="s">
        <v>1605</v>
      </c>
      <c r="E541" t="s">
        <v>1068</v>
      </c>
      <c r="F541" s="8" t="s">
        <v>2601</v>
      </c>
      <c r="G541" t="str">
        <f t="shared" si="58"/>
        <v>(2941,</v>
      </c>
      <c r="H541" t="str">
        <f t="shared" si="59"/>
        <v>404,</v>
      </c>
      <c r="I541" t="str">
        <f t="shared" si="60"/>
        <v>'TSLA',</v>
      </c>
      <c r="J541" t="str">
        <f t="shared" si="61"/>
        <v>180.86,</v>
      </c>
      <c r="K541" t="str">
        <f t="shared" si="62"/>
        <v>'BUY',</v>
      </c>
      <c r="L541" t="str">
        <f t="shared" si="63"/>
        <v>'2024-02-29 22:56:00'),</v>
      </c>
      <c r="M541" t="str">
        <f t="shared" si="64"/>
        <v>(2941,404,'TSLA',180.86,'BUY','2024-02-29 22:56:00'),</v>
      </c>
    </row>
    <row r="542" spans="1:13" x14ac:dyDescent="0.2">
      <c r="A542">
        <v>5258</v>
      </c>
      <c r="B542">
        <v>449</v>
      </c>
      <c r="C542" t="s">
        <v>1063</v>
      </c>
      <c r="D542" t="s">
        <v>1606</v>
      </c>
      <c r="E542" t="s">
        <v>1062</v>
      </c>
      <c r="F542" s="8" t="s">
        <v>2602</v>
      </c>
      <c r="G542" t="str">
        <f t="shared" si="58"/>
        <v>(5258,</v>
      </c>
      <c r="H542" t="str">
        <f t="shared" si="59"/>
        <v>449,</v>
      </c>
      <c r="I542" t="str">
        <f t="shared" si="60"/>
        <v>'META',</v>
      </c>
      <c r="J542" t="str">
        <f t="shared" si="61"/>
        <v>730.35,</v>
      </c>
      <c r="K542" t="str">
        <f t="shared" si="62"/>
        <v>'SELL',</v>
      </c>
      <c r="L542" t="str">
        <f t="shared" si="63"/>
        <v>'2024-02-22 20:51:00'),</v>
      </c>
      <c r="M542" t="str">
        <f t="shared" si="64"/>
        <v>(5258,449,'META',730.35,'SELL','2024-02-22 20:51:00'),</v>
      </c>
    </row>
    <row r="543" spans="1:13" x14ac:dyDescent="0.2">
      <c r="A543">
        <v>5705</v>
      </c>
      <c r="B543">
        <v>764</v>
      </c>
      <c r="C543" t="s">
        <v>1063</v>
      </c>
      <c r="D543" t="s">
        <v>1607</v>
      </c>
      <c r="E543" t="s">
        <v>1062</v>
      </c>
      <c r="F543" s="8" t="s">
        <v>2603</v>
      </c>
      <c r="G543" t="str">
        <f t="shared" si="58"/>
        <v>(5705,</v>
      </c>
      <c r="H543" t="str">
        <f t="shared" si="59"/>
        <v>764,</v>
      </c>
      <c r="I543" t="str">
        <f t="shared" si="60"/>
        <v>'META',</v>
      </c>
      <c r="J543" t="str">
        <f t="shared" si="61"/>
        <v>910.79,</v>
      </c>
      <c r="K543" t="str">
        <f t="shared" si="62"/>
        <v>'SELL',</v>
      </c>
      <c r="L543" t="str">
        <f t="shared" si="63"/>
        <v>'2024-01-07 02:14:00'),</v>
      </c>
      <c r="M543" t="str">
        <f t="shared" si="64"/>
        <v>(5705,764,'META',910.79,'SELL','2024-01-07 02:14:00'),</v>
      </c>
    </row>
    <row r="544" spans="1:13" x14ac:dyDescent="0.2">
      <c r="A544">
        <v>7531</v>
      </c>
      <c r="B544">
        <v>967</v>
      </c>
      <c r="C544" t="s">
        <v>1066</v>
      </c>
      <c r="D544" t="s">
        <v>1608</v>
      </c>
      <c r="E544" t="s">
        <v>1068</v>
      </c>
      <c r="F544" s="8" t="s">
        <v>2604</v>
      </c>
      <c r="G544" t="str">
        <f t="shared" si="58"/>
        <v>(7531,</v>
      </c>
      <c r="H544" t="str">
        <f t="shared" si="59"/>
        <v>967,</v>
      </c>
      <c r="I544" t="str">
        <f t="shared" si="60"/>
        <v>'AMZN',</v>
      </c>
      <c r="J544" t="str">
        <f t="shared" si="61"/>
        <v>520.74,</v>
      </c>
      <c r="K544" t="str">
        <f t="shared" si="62"/>
        <v>'BUY',</v>
      </c>
      <c r="L544" t="str">
        <f t="shared" si="63"/>
        <v>'2024-03-20 21:55:00'),</v>
      </c>
      <c r="M544" t="str">
        <f t="shared" si="64"/>
        <v>(7531,967,'AMZN',520.74,'BUY','2024-03-20 21:55:00'),</v>
      </c>
    </row>
    <row r="545" spans="1:13" x14ac:dyDescent="0.2">
      <c r="A545">
        <v>7922</v>
      </c>
      <c r="B545">
        <v>53</v>
      </c>
      <c r="C545" t="s">
        <v>1060</v>
      </c>
      <c r="D545" t="s">
        <v>1609</v>
      </c>
      <c r="E545" t="s">
        <v>1068</v>
      </c>
      <c r="F545" s="8" t="s">
        <v>2605</v>
      </c>
      <c r="G545" t="str">
        <f t="shared" si="58"/>
        <v>(7922,</v>
      </c>
      <c r="H545" t="str">
        <f t="shared" si="59"/>
        <v>53,</v>
      </c>
      <c r="I545" t="str">
        <f t="shared" si="60"/>
        <v>'TSLA',</v>
      </c>
      <c r="J545" t="str">
        <f t="shared" si="61"/>
        <v>449.36,</v>
      </c>
      <c r="K545" t="str">
        <f t="shared" si="62"/>
        <v>'BUY',</v>
      </c>
      <c r="L545" t="str">
        <f t="shared" si="63"/>
        <v>'2024-03-21 15:24:00'),</v>
      </c>
      <c r="M545" t="str">
        <f t="shared" si="64"/>
        <v>(7922,53,'TSLA',449.36,'BUY','2024-03-21 15:24:00'),</v>
      </c>
    </row>
    <row r="546" spans="1:13" x14ac:dyDescent="0.2">
      <c r="A546">
        <v>1691</v>
      </c>
      <c r="B546">
        <v>200</v>
      </c>
      <c r="C546" t="s">
        <v>1063</v>
      </c>
      <c r="D546" t="s">
        <v>1610</v>
      </c>
      <c r="E546" t="s">
        <v>1062</v>
      </c>
      <c r="F546" s="8" t="s">
        <v>2606</v>
      </c>
      <c r="G546" t="str">
        <f t="shared" si="58"/>
        <v>(1691,</v>
      </c>
      <c r="H546" t="str">
        <f t="shared" si="59"/>
        <v>200,</v>
      </c>
      <c r="I546" t="str">
        <f t="shared" si="60"/>
        <v>'META',</v>
      </c>
      <c r="J546" t="str">
        <f t="shared" si="61"/>
        <v>724.85,</v>
      </c>
      <c r="K546" t="str">
        <f t="shared" si="62"/>
        <v>'SELL',</v>
      </c>
      <c r="L546" t="str">
        <f t="shared" si="63"/>
        <v>'2024-02-19 17:36:00'),</v>
      </c>
      <c r="M546" t="str">
        <f t="shared" si="64"/>
        <v>(1691,200,'META',724.85,'SELL','2024-02-19 17:36:00'),</v>
      </c>
    </row>
    <row r="547" spans="1:13" x14ac:dyDescent="0.2">
      <c r="A547">
        <v>4168</v>
      </c>
      <c r="B547">
        <v>465</v>
      </c>
      <c r="C547" t="s">
        <v>1063</v>
      </c>
      <c r="D547" t="s">
        <v>1611</v>
      </c>
      <c r="E547" t="s">
        <v>1062</v>
      </c>
      <c r="F547" s="8" t="s">
        <v>2607</v>
      </c>
      <c r="G547" t="str">
        <f t="shared" si="58"/>
        <v>(4168,</v>
      </c>
      <c r="H547" t="str">
        <f t="shared" si="59"/>
        <v>465,</v>
      </c>
      <c r="I547" t="str">
        <f t="shared" si="60"/>
        <v>'META',</v>
      </c>
      <c r="J547" t="str">
        <f t="shared" si="61"/>
        <v>483.75,</v>
      </c>
      <c r="K547" t="str">
        <f t="shared" si="62"/>
        <v>'SELL',</v>
      </c>
      <c r="L547" t="str">
        <f t="shared" si="63"/>
        <v>'2024-03-19 01:34:00'),</v>
      </c>
      <c r="M547" t="str">
        <f t="shared" si="64"/>
        <v>(4168,465,'META',483.75,'SELL','2024-03-19 01:34:00'),</v>
      </c>
    </row>
    <row r="548" spans="1:13" x14ac:dyDescent="0.2">
      <c r="A548">
        <v>7531</v>
      </c>
      <c r="B548">
        <v>681</v>
      </c>
      <c r="C548" t="s">
        <v>1066</v>
      </c>
      <c r="D548" t="s">
        <v>1612</v>
      </c>
      <c r="E548" t="s">
        <v>1068</v>
      </c>
      <c r="F548" s="8" t="s">
        <v>2608</v>
      </c>
      <c r="G548" t="str">
        <f t="shared" si="58"/>
        <v>(7531,</v>
      </c>
      <c r="H548" t="str">
        <f t="shared" si="59"/>
        <v>681,</v>
      </c>
      <c r="I548" t="str">
        <f t="shared" si="60"/>
        <v>'AMZN',</v>
      </c>
      <c r="J548" t="str">
        <f t="shared" si="61"/>
        <v>755.01,</v>
      </c>
      <c r="K548" t="str">
        <f t="shared" si="62"/>
        <v>'BUY',</v>
      </c>
      <c r="L548" t="str">
        <f t="shared" si="63"/>
        <v>'2024-02-17 20:05:00'),</v>
      </c>
      <c r="M548" t="str">
        <f t="shared" si="64"/>
        <v>(7531,681,'AMZN',755.01,'BUY','2024-02-17 20:05:00'),</v>
      </c>
    </row>
    <row r="549" spans="1:13" x14ac:dyDescent="0.2">
      <c r="A549">
        <v>9094</v>
      </c>
      <c r="B549">
        <v>482</v>
      </c>
      <c r="C549" t="s">
        <v>1060</v>
      </c>
      <c r="D549" t="s">
        <v>1613</v>
      </c>
      <c r="E549" t="s">
        <v>1068</v>
      </c>
      <c r="F549" s="8" t="s">
        <v>2609</v>
      </c>
      <c r="G549" t="str">
        <f t="shared" si="58"/>
        <v>(9094,</v>
      </c>
      <c r="H549" t="str">
        <f t="shared" si="59"/>
        <v>482,</v>
      </c>
      <c r="I549" t="str">
        <f t="shared" si="60"/>
        <v>'TSLA',</v>
      </c>
      <c r="J549" t="str">
        <f t="shared" si="61"/>
        <v>671.68,</v>
      </c>
      <c r="K549" t="str">
        <f t="shared" si="62"/>
        <v>'BUY',</v>
      </c>
      <c r="L549" t="str">
        <f t="shared" si="63"/>
        <v>'2024-02-29 12:54:00'),</v>
      </c>
      <c r="M549" t="str">
        <f t="shared" si="64"/>
        <v>(9094,482,'TSLA',671.68,'BUY','2024-02-29 12:54:00'),</v>
      </c>
    </row>
    <row r="550" spans="1:13" x14ac:dyDescent="0.2">
      <c r="A550">
        <v>1691</v>
      </c>
      <c r="B550">
        <v>395</v>
      </c>
      <c r="C550" t="s">
        <v>1063</v>
      </c>
      <c r="D550" t="s">
        <v>1614</v>
      </c>
      <c r="E550" t="s">
        <v>1062</v>
      </c>
      <c r="F550" s="8" t="s">
        <v>2610</v>
      </c>
      <c r="G550" t="str">
        <f t="shared" si="58"/>
        <v>(1691,</v>
      </c>
      <c r="H550" t="str">
        <f t="shared" si="59"/>
        <v>395,</v>
      </c>
      <c r="I550" t="str">
        <f t="shared" si="60"/>
        <v>'META',</v>
      </c>
      <c r="J550" t="str">
        <f t="shared" si="61"/>
        <v>502.81,</v>
      </c>
      <c r="K550" t="str">
        <f t="shared" si="62"/>
        <v>'SELL',</v>
      </c>
      <c r="L550" t="str">
        <f t="shared" si="63"/>
        <v>'2024-05-09 23:20:00'),</v>
      </c>
      <c r="M550" t="str">
        <f t="shared" si="64"/>
        <v>(1691,395,'META',502.81,'SELL','2024-05-09 23:20:00'),</v>
      </c>
    </row>
    <row r="551" spans="1:13" x14ac:dyDescent="0.2">
      <c r="A551">
        <v>7938</v>
      </c>
      <c r="B551">
        <v>928</v>
      </c>
      <c r="C551" t="s">
        <v>1063</v>
      </c>
      <c r="D551" t="s">
        <v>1615</v>
      </c>
      <c r="E551" t="s">
        <v>1068</v>
      </c>
      <c r="F551" s="8" t="s">
        <v>2611</v>
      </c>
      <c r="G551" t="str">
        <f t="shared" si="58"/>
        <v>(7938,</v>
      </c>
      <c r="H551" t="str">
        <f t="shared" si="59"/>
        <v>928,</v>
      </c>
      <c r="I551" t="str">
        <f t="shared" si="60"/>
        <v>'META',</v>
      </c>
      <c r="J551" t="str">
        <f t="shared" si="61"/>
        <v>813.6,</v>
      </c>
      <c r="K551" t="str">
        <f t="shared" si="62"/>
        <v>'BUY',</v>
      </c>
      <c r="L551" t="str">
        <f t="shared" si="63"/>
        <v>'2024-05-09 14:56:00'),</v>
      </c>
      <c r="M551" t="str">
        <f t="shared" si="64"/>
        <v>(7938,928,'META',813.6,'BUY','2024-05-09 14:56:00'),</v>
      </c>
    </row>
    <row r="552" spans="1:13" x14ac:dyDescent="0.2">
      <c r="A552">
        <v>1691</v>
      </c>
      <c r="B552">
        <v>564</v>
      </c>
      <c r="C552" t="s">
        <v>1066</v>
      </c>
      <c r="D552" t="s">
        <v>1616</v>
      </c>
      <c r="E552" t="s">
        <v>1062</v>
      </c>
      <c r="F552" s="8" t="s">
        <v>2612</v>
      </c>
      <c r="G552" t="str">
        <f t="shared" si="58"/>
        <v>(1691,</v>
      </c>
      <c r="H552" t="str">
        <f t="shared" si="59"/>
        <v>564,</v>
      </c>
      <c r="I552" t="str">
        <f t="shared" si="60"/>
        <v>'AMZN',</v>
      </c>
      <c r="J552" t="str">
        <f t="shared" si="61"/>
        <v>994.78,</v>
      </c>
      <c r="K552" t="str">
        <f t="shared" si="62"/>
        <v>'SELL',</v>
      </c>
      <c r="L552" t="str">
        <f t="shared" si="63"/>
        <v>'2024-02-12 01:33:00'),</v>
      </c>
      <c r="M552" t="str">
        <f t="shared" si="64"/>
        <v>(1691,564,'AMZN',994.78,'SELL','2024-02-12 01:33:00'),</v>
      </c>
    </row>
    <row r="553" spans="1:13" x14ac:dyDescent="0.2">
      <c r="A553">
        <v>4710</v>
      </c>
      <c r="B553">
        <v>395</v>
      </c>
      <c r="C553" t="s">
        <v>1060</v>
      </c>
      <c r="D553" t="s">
        <v>1617</v>
      </c>
      <c r="E553" t="s">
        <v>1062</v>
      </c>
      <c r="F553" s="8" t="s">
        <v>2613</v>
      </c>
      <c r="G553" t="str">
        <f t="shared" si="58"/>
        <v>(4710,</v>
      </c>
      <c r="H553" t="str">
        <f t="shared" si="59"/>
        <v>395,</v>
      </c>
      <c r="I553" t="str">
        <f t="shared" si="60"/>
        <v>'TSLA',</v>
      </c>
      <c r="J553" t="str">
        <f t="shared" si="61"/>
        <v>951.13,</v>
      </c>
      <c r="K553" t="str">
        <f t="shared" si="62"/>
        <v>'SELL',</v>
      </c>
      <c r="L553" t="str">
        <f t="shared" si="63"/>
        <v>'2024-01-05 08:47:00'),</v>
      </c>
      <c r="M553" t="str">
        <f t="shared" si="64"/>
        <v>(4710,395,'TSLA',951.13,'SELL','2024-01-05 08:47:00'),</v>
      </c>
    </row>
    <row r="554" spans="1:13" x14ac:dyDescent="0.2">
      <c r="A554">
        <v>7531</v>
      </c>
      <c r="B554">
        <v>223</v>
      </c>
      <c r="C554" t="s">
        <v>1066</v>
      </c>
      <c r="D554" t="s">
        <v>1618</v>
      </c>
      <c r="E554" t="s">
        <v>1068</v>
      </c>
      <c r="F554" s="8" t="s">
        <v>2614</v>
      </c>
      <c r="G554" t="str">
        <f t="shared" si="58"/>
        <v>(7531,</v>
      </c>
      <c r="H554" t="str">
        <f t="shared" si="59"/>
        <v>223,</v>
      </c>
      <c r="I554" t="str">
        <f t="shared" si="60"/>
        <v>'AMZN',</v>
      </c>
      <c r="J554" t="str">
        <f t="shared" si="61"/>
        <v>670.33,</v>
      </c>
      <c r="K554" t="str">
        <f t="shared" si="62"/>
        <v>'BUY',</v>
      </c>
      <c r="L554" t="str">
        <f t="shared" si="63"/>
        <v>'2024-04-11 19:38:00'),</v>
      </c>
      <c r="M554" t="str">
        <f t="shared" si="64"/>
        <v>(7531,223,'AMZN',670.33,'BUY','2024-04-11 19:38:00'),</v>
      </c>
    </row>
    <row r="555" spans="1:13" x14ac:dyDescent="0.2">
      <c r="A555">
        <v>5297</v>
      </c>
      <c r="B555">
        <v>347</v>
      </c>
      <c r="C555" t="s">
        <v>1060</v>
      </c>
      <c r="D555" t="s">
        <v>1619</v>
      </c>
      <c r="E555" t="s">
        <v>1062</v>
      </c>
      <c r="F555" s="8" t="s">
        <v>2615</v>
      </c>
      <c r="G555" t="str">
        <f t="shared" si="58"/>
        <v>(5297,</v>
      </c>
      <c r="H555" t="str">
        <f t="shared" si="59"/>
        <v>347,</v>
      </c>
      <c r="I555" t="str">
        <f t="shared" si="60"/>
        <v>'TSLA',</v>
      </c>
      <c r="J555" t="str">
        <f t="shared" si="61"/>
        <v>311.93,</v>
      </c>
      <c r="K555" t="str">
        <f t="shared" si="62"/>
        <v>'SELL',</v>
      </c>
      <c r="L555" t="str">
        <f t="shared" si="63"/>
        <v>'2024-04-20 02:52:00'),</v>
      </c>
      <c r="M555" t="str">
        <f t="shared" si="64"/>
        <v>(5297,347,'TSLA',311.93,'SELL','2024-04-20 02:52:00'),</v>
      </c>
    </row>
    <row r="556" spans="1:13" x14ac:dyDescent="0.2">
      <c r="A556">
        <v>5705</v>
      </c>
      <c r="B556">
        <v>173</v>
      </c>
      <c r="C556" t="s">
        <v>1063</v>
      </c>
      <c r="D556" t="s">
        <v>1620</v>
      </c>
      <c r="E556" t="s">
        <v>1068</v>
      </c>
      <c r="F556" s="8" t="s">
        <v>2616</v>
      </c>
      <c r="G556" t="str">
        <f t="shared" si="58"/>
        <v>(5705,</v>
      </c>
      <c r="H556" t="str">
        <f t="shared" si="59"/>
        <v>173,</v>
      </c>
      <c r="I556" t="str">
        <f t="shared" si="60"/>
        <v>'META',</v>
      </c>
      <c r="J556" t="str">
        <f t="shared" si="61"/>
        <v>567.99,</v>
      </c>
      <c r="K556" t="str">
        <f t="shared" si="62"/>
        <v>'BUY',</v>
      </c>
      <c r="L556" t="str">
        <f t="shared" si="63"/>
        <v>'2024-03-14 23:56:00'),</v>
      </c>
      <c r="M556" t="str">
        <f t="shared" si="64"/>
        <v>(5705,173,'META',567.99,'BUY','2024-03-14 23:56:00'),</v>
      </c>
    </row>
    <row r="557" spans="1:13" x14ac:dyDescent="0.2">
      <c r="A557">
        <v>4710</v>
      </c>
      <c r="B557">
        <v>74</v>
      </c>
      <c r="C557" t="s">
        <v>1069</v>
      </c>
      <c r="D557" t="s">
        <v>1621</v>
      </c>
      <c r="E557" t="s">
        <v>1062</v>
      </c>
      <c r="F557" s="8" t="s">
        <v>2617</v>
      </c>
      <c r="G557" t="str">
        <f t="shared" si="58"/>
        <v>(4710,</v>
      </c>
      <c r="H557" t="str">
        <f t="shared" si="59"/>
        <v>74,</v>
      </c>
      <c r="I557" t="str">
        <f t="shared" si="60"/>
        <v>'MSFT',</v>
      </c>
      <c r="J557" t="str">
        <f t="shared" si="61"/>
        <v>594.81,</v>
      </c>
      <c r="K557" t="str">
        <f t="shared" si="62"/>
        <v>'SELL',</v>
      </c>
      <c r="L557" t="str">
        <f t="shared" si="63"/>
        <v>'2024-02-26 03:11:00'),</v>
      </c>
      <c r="M557" t="str">
        <f t="shared" si="64"/>
        <v>(4710,74,'MSFT',594.81,'SELL','2024-02-26 03:11:00'),</v>
      </c>
    </row>
    <row r="558" spans="1:13" x14ac:dyDescent="0.2">
      <c r="A558">
        <v>6298</v>
      </c>
      <c r="B558">
        <v>943</v>
      </c>
      <c r="C558" t="s">
        <v>1066</v>
      </c>
      <c r="D558" t="s">
        <v>1622</v>
      </c>
      <c r="E558" t="s">
        <v>1068</v>
      </c>
      <c r="F558" s="8" t="s">
        <v>2618</v>
      </c>
      <c r="G558" t="str">
        <f t="shared" si="58"/>
        <v>(6298,</v>
      </c>
      <c r="H558" t="str">
        <f t="shared" si="59"/>
        <v>943,</v>
      </c>
      <c r="I558" t="str">
        <f t="shared" si="60"/>
        <v>'AMZN',</v>
      </c>
      <c r="J558" t="str">
        <f t="shared" si="61"/>
        <v>805.29,</v>
      </c>
      <c r="K558" t="str">
        <f t="shared" si="62"/>
        <v>'BUY',</v>
      </c>
      <c r="L558" t="str">
        <f t="shared" si="63"/>
        <v>'2024-02-29 05:46:00'),</v>
      </c>
      <c r="M558" t="str">
        <f t="shared" si="64"/>
        <v>(6298,943,'AMZN',805.29,'BUY','2024-02-29 05:46:00'),</v>
      </c>
    </row>
    <row r="559" spans="1:13" x14ac:dyDescent="0.2">
      <c r="A559">
        <v>5297</v>
      </c>
      <c r="B559">
        <v>58</v>
      </c>
      <c r="C559" t="s">
        <v>1066</v>
      </c>
      <c r="D559" t="s">
        <v>1623</v>
      </c>
      <c r="E559" t="s">
        <v>1068</v>
      </c>
      <c r="F559" s="8" t="s">
        <v>2619</v>
      </c>
      <c r="G559" t="str">
        <f t="shared" si="58"/>
        <v>(5297,</v>
      </c>
      <c r="H559" t="str">
        <f t="shared" si="59"/>
        <v>58,</v>
      </c>
      <c r="I559" t="str">
        <f t="shared" si="60"/>
        <v>'AMZN',</v>
      </c>
      <c r="J559" t="str">
        <f t="shared" si="61"/>
        <v>255.04,</v>
      </c>
      <c r="K559" t="str">
        <f t="shared" si="62"/>
        <v>'BUY',</v>
      </c>
      <c r="L559" t="str">
        <f t="shared" si="63"/>
        <v>'2024-04-23 13:28:00'),</v>
      </c>
      <c r="M559" t="str">
        <f t="shared" si="64"/>
        <v>(5297,58,'AMZN',255.04,'BUY','2024-04-23 13:28:00'),</v>
      </c>
    </row>
    <row r="560" spans="1:13" x14ac:dyDescent="0.2">
      <c r="A560">
        <v>5258</v>
      </c>
      <c r="B560">
        <v>653</v>
      </c>
      <c r="C560" t="s">
        <v>1066</v>
      </c>
      <c r="D560" t="s">
        <v>1624</v>
      </c>
      <c r="E560" t="s">
        <v>1062</v>
      </c>
      <c r="F560" s="8" t="s">
        <v>2620</v>
      </c>
      <c r="G560" t="str">
        <f t="shared" si="58"/>
        <v>(5258,</v>
      </c>
      <c r="H560" t="str">
        <f t="shared" si="59"/>
        <v>653,</v>
      </c>
      <c r="I560" t="str">
        <f t="shared" si="60"/>
        <v>'AMZN',</v>
      </c>
      <c r="J560" t="str">
        <f t="shared" si="61"/>
        <v>608.1,</v>
      </c>
      <c r="K560" t="str">
        <f t="shared" si="62"/>
        <v>'SELL',</v>
      </c>
      <c r="L560" t="str">
        <f t="shared" si="63"/>
        <v>'2024-01-30 01:45:00'),</v>
      </c>
      <c r="M560" t="str">
        <f t="shared" si="64"/>
        <v>(5258,653,'AMZN',608.1,'SELL','2024-01-30 01:45:00'),</v>
      </c>
    </row>
    <row r="561" spans="1:13" x14ac:dyDescent="0.2">
      <c r="A561">
        <v>9094</v>
      </c>
      <c r="B561">
        <v>421</v>
      </c>
      <c r="C561" t="s">
        <v>1069</v>
      </c>
      <c r="D561" t="s">
        <v>1625</v>
      </c>
      <c r="E561" t="s">
        <v>1068</v>
      </c>
      <c r="F561" s="8" t="s">
        <v>2621</v>
      </c>
      <c r="G561" t="str">
        <f t="shared" si="58"/>
        <v>(9094,</v>
      </c>
      <c r="H561" t="str">
        <f t="shared" si="59"/>
        <v>421,</v>
      </c>
      <c r="I561" t="str">
        <f t="shared" si="60"/>
        <v>'MSFT',</v>
      </c>
      <c r="J561" t="str">
        <f t="shared" si="61"/>
        <v>835.54,</v>
      </c>
      <c r="K561" t="str">
        <f t="shared" si="62"/>
        <v>'BUY',</v>
      </c>
      <c r="L561" t="str">
        <f t="shared" si="63"/>
        <v>'2024-04-16 14:12:00'),</v>
      </c>
      <c r="M561" t="str">
        <f t="shared" si="64"/>
        <v>(9094,421,'MSFT',835.54,'BUY','2024-04-16 14:12:00'),</v>
      </c>
    </row>
    <row r="562" spans="1:13" x14ac:dyDescent="0.2">
      <c r="A562">
        <v>7922</v>
      </c>
      <c r="B562">
        <v>325</v>
      </c>
      <c r="C562" t="s">
        <v>1066</v>
      </c>
      <c r="D562" t="s">
        <v>1626</v>
      </c>
      <c r="E562" t="s">
        <v>1062</v>
      </c>
      <c r="F562" s="8" t="s">
        <v>2622</v>
      </c>
      <c r="G562" t="str">
        <f t="shared" si="58"/>
        <v>(7922,</v>
      </c>
      <c r="H562" t="str">
        <f t="shared" si="59"/>
        <v>325,</v>
      </c>
      <c r="I562" t="str">
        <f t="shared" si="60"/>
        <v>'AMZN',</v>
      </c>
      <c r="J562" t="str">
        <f t="shared" si="61"/>
        <v>637.46,</v>
      </c>
      <c r="K562" t="str">
        <f t="shared" si="62"/>
        <v>'SELL',</v>
      </c>
      <c r="L562" t="str">
        <f t="shared" si="63"/>
        <v>'2024-04-19 10:15:00'),</v>
      </c>
      <c r="M562" t="str">
        <f t="shared" si="64"/>
        <v>(7922,325,'AMZN',637.46,'SELL','2024-04-19 10:15:00'),</v>
      </c>
    </row>
    <row r="563" spans="1:13" x14ac:dyDescent="0.2">
      <c r="A563">
        <v>9952</v>
      </c>
      <c r="B563">
        <v>525</v>
      </c>
      <c r="C563" t="s">
        <v>1069</v>
      </c>
      <c r="D563" t="s">
        <v>1627</v>
      </c>
      <c r="E563" t="s">
        <v>1068</v>
      </c>
      <c r="F563" s="8" t="s">
        <v>2623</v>
      </c>
      <c r="G563" t="str">
        <f t="shared" si="58"/>
        <v>(9952,</v>
      </c>
      <c r="H563" t="str">
        <f t="shared" si="59"/>
        <v>525,</v>
      </c>
      <c r="I563" t="str">
        <f t="shared" si="60"/>
        <v>'MSFT',</v>
      </c>
      <c r="J563" t="str">
        <f t="shared" si="61"/>
        <v>965.46,</v>
      </c>
      <c r="K563" t="str">
        <f t="shared" si="62"/>
        <v>'BUY',</v>
      </c>
      <c r="L563" t="str">
        <f t="shared" si="63"/>
        <v>'2024-05-16 23:24:00'),</v>
      </c>
      <c r="M563" t="str">
        <f t="shared" si="64"/>
        <v>(9952,525,'MSFT',965.46,'BUY','2024-05-16 23:24:00'),</v>
      </c>
    </row>
    <row r="564" spans="1:13" x14ac:dyDescent="0.2">
      <c r="A564">
        <v>7922</v>
      </c>
      <c r="B564">
        <v>635</v>
      </c>
      <c r="C564" t="s">
        <v>1066</v>
      </c>
      <c r="D564" t="s">
        <v>1628</v>
      </c>
      <c r="E564" t="s">
        <v>1062</v>
      </c>
      <c r="F564" s="8" t="s">
        <v>2624</v>
      </c>
      <c r="G564" t="str">
        <f t="shared" si="58"/>
        <v>(7922,</v>
      </c>
      <c r="H564" t="str">
        <f t="shared" si="59"/>
        <v>635,</v>
      </c>
      <c r="I564" t="str">
        <f t="shared" si="60"/>
        <v>'AMZN',</v>
      </c>
      <c r="J564" t="str">
        <f t="shared" si="61"/>
        <v>683.86,</v>
      </c>
      <c r="K564" t="str">
        <f t="shared" si="62"/>
        <v>'SELL',</v>
      </c>
      <c r="L564" t="str">
        <f t="shared" si="63"/>
        <v>'2024-03-06 15:16:00'),</v>
      </c>
      <c r="M564" t="str">
        <f t="shared" si="64"/>
        <v>(7922,635,'AMZN',683.86,'SELL','2024-03-06 15:16:00'),</v>
      </c>
    </row>
    <row r="565" spans="1:13" x14ac:dyDescent="0.2">
      <c r="A565">
        <v>7531</v>
      </c>
      <c r="B565">
        <v>921</v>
      </c>
      <c r="C565" t="s">
        <v>1066</v>
      </c>
      <c r="D565" t="s">
        <v>1629</v>
      </c>
      <c r="E565" t="s">
        <v>1068</v>
      </c>
      <c r="F565" s="8" t="s">
        <v>2625</v>
      </c>
      <c r="G565" t="str">
        <f t="shared" si="58"/>
        <v>(7531,</v>
      </c>
      <c r="H565" t="str">
        <f t="shared" si="59"/>
        <v>921,</v>
      </c>
      <c r="I565" t="str">
        <f t="shared" si="60"/>
        <v>'AMZN',</v>
      </c>
      <c r="J565" t="str">
        <f t="shared" si="61"/>
        <v>442.13,</v>
      </c>
      <c r="K565" t="str">
        <f t="shared" si="62"/>
        <v>'BUY',</v>
      </c>
      <c r="L565" t="str">
        <f t="shared" si="63"/>
        <v>'2024-04-15 17:29:00'),</v>
      </c>
      <c r="M565" t="str">
        <f t="shared" si="64"/>
        <v>(7531,921,'AMZN',442.13,'BUY','2024-04-15 17:29:00'),</v>
      </c>
    </row>
    <row r="566" spans="1:13" x14ac:dyDescent="0.2">
      <c r="A566">
        <v>4168</v>
      </c>
      <c r="B566">
        <v>472</v>
      </c>
      <c r="C566" t="s">
        <v>1060</v>
      </c>
      <c r="D566" t="s">
        <v>1630</v>
      </c>
      <c r="E566" t="s">
        <v>1068</v>
      </c>
      <c r="F566" s="8" t="s">
        <v>2626</v>
      </c>
      <c r="G566" t="str">
        <f t="shared" si="58"/>
        <v>(4168,</v>
      </c>
      <c r="H566" t="str">
        <f t="shared" si="59"/>
        <v>472,</v>
      </c>
      <c r="I566" t="str">
        <f t="shared" si="60"/>
        <v>'TSLA',</v>
      </c>
      <c r="J566" t="str">
        <f t="shared" si="61"/>
        <v>522.46,</v>
      </c>
      <c r="K566" t="str">
        <f t="shared" si="62"/>
        <v>'BUY',</v>
      </c>
      <c r="L566" t="str">
        <f t="shared" si="63"/>
        <v>'2024-04-10 17:16:00'),</v>
      </c>
      <c r="M566" t="str">
        <f t="shared" si="64"/>
        <v>(4168,472,'TSLA',522.46,'BUY','2024-04-10 17:16:00'),</v>
      </c>
    </row>
    <row r="567" spans="1:13" x14ac:dyDescent="0.2">
      <c r="A567">
        <v>9952</v>
      </c>
      <c r="B567">
        <v>77</v>
      </c>
      <c r="C567" t="s">
        <v>1066</v>
      </c>
      <c r="D567" t="s">
        <v>1631</v>
      </c>
      <c r="E567" t="s">
        <v>1062</v>
      </c>
      <c r="F567" s="8" t="s">
        <v>2627</v>
      </c>
      <c r="G567" t="str">
        <f t="shared" si="58"/>
        <v>(9952,</v>
      </c>
      <c r="H567" t="str">
        <f t="shared" si="59"/>
        <v>77,</v>
      </c>
      <c r="I567" t="str">
        <f t="shared" si="60"/>
        <v>'AMZN',</v>
      </c>
      <c r="J567" t="str">
        <f t="shared" si="61"/>
        <v>301.55,</v>
      </c>
      <c r="K567" t="str">
        <f t="shared" si="62"/>
        <v>'SELL',</v>
      </c>
      <c r="L567" t="str">
        <f t="shared" si="63"/>
        <v>'2024-05-20 01:58:00'),</v>
      </c>
      <c r="M567" t="str">
        <f t="shared" si="64"/>
        <v>(9952,77,'AMZN',301.55,'SELL','2024-05-20 01:58:00'),</v>
      </c>
    </row>
    <row r="568" spans="1:13" x14ac:dyDescent="0.2">
      <c r="A568">
        <v>9094</v>
      </c>
      <c r="B568">
        <v>591</v>
      </c>
      <c r="C568" t="s">
        <v>1069</v>
      </c>
      <c r="D568" t="s">
        <v>1632</v>
      </c>
      <c r="E568" t="s">
        <v>1068</v>
      </c>
      <c r="F568" s="8" t="s">
        <v>2628</v>
      </c>
      <c r="G568" t="str">
        <f t="shared" si="58"/>
        <v>(9094,</v>
      </c>
      <c r="H568" t="str">
        <f t="shared" si="59"/>
        <v>591,</v>
      </c>
      <c r="I568" t="str">
        <f t="shared" si="60"/>
        <v>'MSFT',</v>
      </c>
      <c r="J568" t="str">
        <f t="shared" si="61"/>
        <v>374.42,</v>
      </c>
      <c r="K568" t="str">
        <f t="shared" si="62"/>
        <v>'BUY',</v>
      </c>
      <c r="L568" t="str">
        <f t="shared" si="63"/>
        <v>'2024-05-09 20:31:00'),</v>
      </c>
      <c r="M568" t="str">
        <f t="shared" si="64"/>
        <v>(9094,591,'MSFT',374.42,'BUY','2024-05-09 20:31:00'),</v>
      </c>
    </row>
    <row r="569" spans="1:13" x14ac:dyDescent="0.2">
      <c r="A569">
        <v>2941</v>
      </c>
      <c r="B569">
        <v>374</v>
      </c>
      <c r="C569" t="s">
        <v>1069</v>
      </c>
      <c r="D569" t="s">
        <v>1633</v>
      </c>
      <c r="E569" t="s">
        <v>1062</v>
      </c>
      <c r="F569" s="8" t="s">
        <v>2629</v>
      </c>
      <c r="G569" t="str">
        <f t="shared" si="58"/>
        <v>(2941,</v>
      </c>
      <c r="H569" t="str">
        <f t="shared" si="59"/>
        <v>374,</v>
      </c>
      <c r="I569" t="str">
        <f t="shared" si="60"/>
        <v>'MSFT',</v>
      </c>
      <c r="J569" t="str">
        <f t="shared" si="61"/>
        <v>827.1,</v>
      </c>
      <c r="K569" t="str">
        <f t="shared" si="62"/>
        <v>'SELL',</v>
      </c>
      <c r="L569" t="str">
        <f t="shared" si="63"/>
        <v>'2024-02-29 08:19:00'),</v>
      </c>
      <c r="M569" t="str">
        <f t="shared" si="64"/>
        <v>(2941,374,'MSFT',827.1,'SELL','2024-02-29 08:19:00'),</v>
      </c>
    </row>
    <row r="570" spans="1:13" x14ac:dyDescent="0.2">
      <c r="A570">
        <v>4710</v>
      </c>
      <c r="B570">
        <v>907</v>
      </c>
      <c r="C570" t="s">
        <v>1069</v>
      </c>
      <c r="D570" t="s">
        <v>1634</v>
      </c>
      <c r="E570" t="s">
        <v>1062</v>
      </c>
      <c r="F570" s="8" t="s">
        <v>2630</v>
      </c>
      <c r="G570" t="str">
        <f t="shared" si="58"/>
        <v>(4710,</v>
      </c>
      <c r="H570" t="str">
        <f t="shared" si="59"/>
        <v>907,</v>
      </c>
      <c r="I570" t="str">
        <f t="shared" si="60"/>
        <v>'MSFT',</v>
      </c>
      <c r="J570" t="str">
        <f t="shared" si="61"/>
        <v>609.55,</v>
      </c>
      <c r="K570" t="str">
        <f t="shared" si="62"/>
        <v>'SELL',</v>
      </c>
      <c r="L570" t="str">
        <f t="shared" si="63"/>
        <v>'2024-05-24 06:07:00'),</v>
      </c>
      <c r="M570" t="str">
        <f t="shared" si="64"/>
        <v>(4710,907,'MSFT',609.55,'SELL','2024-05-24 06:07:00'),</v>
      </c>
    </row>
    <row r="571" spans="1:13" x14ac:dyDescent="0.2">
      <c r="A571">
        <v>7531</v>
      </c>
      <c r="B571">
        <v>355</v>
      </c>
      <c r="C571" t="s">
        <v>1066</v>
      </c>
      <c r="D571" t="s">
        <v>1635</v>
      </c>
      <c r="E571" t="s">
        <v>1068</v>
      </c>
      <c r="F571" s="8" t="s">
        <v>2631</v>
      </c>
      <c r="G571" t="str">
        <f t="shared" si="58"/>
        <v>(7531,</v>
      </c>
      <c r="H571" t="str">
        <f t="shared" si="59"/>
        <v>355,</v>
      </c>
      <c r="I571" t="str">
        <f t="shared" si="60"/>
        <v>'AMZN',</v>
      </c>
      <c r="J571" t="str">
        <f t="shared" si="61"/>
        <v>367.79,</v>
      </c>
      <c r="K571" t="str">
        <f t="shared" si="62"/>
        <v>'BUY',</v>
      </c>
      <c r="L571" t="str">
        <f t="shared" si="63"/>
        <v>'2024-04-27 14:25:00'),</v>
      </c>
      <c r="M571" t="str">
        <f t="shared" si="64"/>
        <v>(7531,355,'AMZN',367.79,'BUY','2024-04-27 14:25:00'),</v>
      </c>
    </row>
    <row r="572" spans="1:13" x14ac:dyDescent="0.2">
      <c r="A572">
        <v>5297</v>
      </c>
      <c r="B572">
        <v>4</v>
      </c>
      <c r="C572" t="s">
        <v>1063</v>
      </c>
      <c r="D572" t="s">
        <v>1636</v>
      </c>
      <c r="E572" t="s">
        <v>1062</v>
      </c>
      <c r="F572" s="8" t="s">
        <v>2632</v>
      </c>
      <c r="G572" t="str">
        <f t="shared" si="58"/>
        <v>(5297,</v>
      </c>
      <c r="H572" t="str">
        <f t="shared" si="59"/>
        <v>4,</v>
      </c>
      <c r="I572" t="str">
        <f t="shared" si="60"/>
        <v>'META',</v>
      </c>
      <c r="J572" t="str">
        <f t="shared" si="61"/>
        <v>610.05,</v>
      </c>
      <c r="K572" t="str">
        <f t="shared" si="62"/>
        <v>'SELL',</v>
      </c>
      <c r="L572" t="str">
        <f t="shared" si="63"/>
        <v>'2024-02-19 04:23:00'),</v>
      </c>
      <c r="M572" t="str">
        <f t="shared" si="64"/>
        <v>(5297,4,'META',610.05,'SELL','2024-02-19 04:23:00'),</v>
      </c>
    </row>
    <row r="573" spans="1:13" x14ac:dyDescent="0.2">
      <c r="A573">
        <v>4669</v>
      </c>
      <c r="B573">
        <v>942</v>
      </c>
      <c r="C573" t="s">
        <v>1060</v>
      </c>
      <c r="D573" t="s">
        <v>1637</v>
      </c>
      <c r="E573" t="s">
        <v>1068</v>
      </c>
      <c r="F573" s="8" t="s">
        <v>2633</v>
      </c>
      <c r="G573" t="str">
        <f t="shared" si="58"/>
        <v>(4669,</v>
      </c>
      <c r="H573" t="str">
        <f t="shared" si="59"/>
        <v>942,</v>
      </c>
      <c r="I573" t="str">
        <f t="shared" si="60"/>
        <v>'TSLA',</v>
      </c>
      <c r="J573" t="str">
        <f t="shared" si="61"/>
        <v>340.96,</v>
      </c>
      <c r="K573" t="str">
        <f t="shared" si="62"/>
        <v>'BUY',</v>
      </c>
      <c r="L573" t="str">
        <f t="shared" si="63"/>
        <v>'2024-03-22 02:47:00'),</v>
      </c>
      <c r="M573" t="str">
        <f t="shared" si="64"/>
        <v>(4669,942,'TSLA',340.96,'BUY','2024-03-22 02:47:00'),</v>
      </c>
    </row>
    <row r="574" spans="1:13" x14ac:dyDescent="0.2">
      <c r="A574">
        <v>4710</v>
      </c>
      <c r="B574">
        <v>172</v>
      </c>
      <c r="C574" t="s">
        <v>1069</v>
      </c>
      <c r="D574" t="s">
        <v>1638</v>
      </c>
      <c r="E574" t="s">
        <v>1062</v>
      </c>
      <c r="F574" s="8" t="s">
        <v>2634</v>
      </c>
      <c r="G574" t="str">
        <f t="shared" si="58"/>
        <v>(4710,</v>
      </c>
      <c r="H574" t="str">
        <f t="shared" si="59"/>
        <v>172,</v>
      </c>
      <c r="I574" t="str">
        <f t="shared" si="60"/>
        <v>'MSFT',</v>
      </c>
      <c r="J574" t="str">
        <f t="shared" si="61"/>
        <v>326.27,</v>
      </c>
      <c r="K574" t="str">
        <f t="shared" si="62"/>
        <v>'SELL',</v>
      </c>
      <c r="L574" t="str">
        <f t="shared" si="63"/>
        <v>'2024-02-24 13:45:00'),</v>
      </c>
      <c r="M574" t="str">
        <f t="shared" si="64"/>
        <v>(4710,172,'MSFT',326.27,'SELL','2024-02-24 13:45:00'),</v>
      </c>
    </row>
    <row r="575" spans="1:13" x14ac:dyDescent="0.2">
      <c r="A575">
        <v>4669</v>
      </c>
      <c r="B575">
        <v>124</v>
      </c>
      <c r="C575" t="s">
        <v>1066</v>
      </c>
      <c r="D575" t="s">
        <v>1639</v>
      </c>
      <c r="E575" t="s">
        <v>1062</v>
      </c>
      <c r="F575" s="8" t="s">
        <v>2635</v>
      </c>
      <c r="G575" t="str">
        <f t="shared" si="58"/>
        <v>(4669,</v>
      </c>
      <c r="H575" t="str">
        <f t="shared" si="59"/>
        <v>124,</v>
      </c>
      <c r="I575" t="str">
        <f t="shared" si="60"/>
        <v>'AMZN',</v>
      </c>
      <c r="J575" t="str">
        <f t="shared" si="61"/>
        <v>291.35,</v>
      </c>
      <c r="K575" t="str">
        <f t="shared" si="62"/>
        <v>'SELL',</v>
      </c>
      <c r="L575" t="str">
        <f t="shared" si="63"/>
        <v>'2024-01-06 18:18:00'),</v>
      </c>
      <c r="M575" t="str">
        <f t="shared" si="64"/>
        <v>(4669,124,'AMZN',291.35,'SELL','2024-01-06 18:18:00'),</v>
      </c>
    </row>
    <row r="576" spans="1:13" x14ac:dyDescent="0.2">
      <c r="A576">
        <v>5258</v>
      </c>
      <c r="B576">
        <v>972</v>
      </c>
      <c r="C576" t="s">
        <v>1060</v>
      </c>
      <c r="D576" t="s">
        <v>1640</v>
      </c>
      <c r="E576" t="s">
        <v>1062</v>
      </c>
      <c r="F576" s="8" t="s">
        <v>2636</v>
      </c>
      <c r="G576" t="str">
        <f t="shared" si="58"/>
        <v>(5258,</v>
      </c>
      <c r="H576" t="str">
        <f t="shared" si="59"/>
        <v>972,</v>
      </c>
      <c r="I576" t="str">
        <f t="shared" si="60"/>
        <v>'TSLA',</v>
      </c>
      <c r="J576" t="str">
        <f t="shared" si="61"/>
        <v>404.53,</v>
      </c>
      <c r="K576" t="str">
        <f t="shared" si="62"/>
        <v>'SELL',</v>
      </c>
      <c r="L576" t="str">
        <f t="shared" si="63"/>
        <v>'2024-04-05 03:54:00'),</v>
      </c>
      <c r="M576" t="str">
        <f t="shared" si="64"/>
        <v>(5258,972,'TSLA',404.53,'SELL','2024-04-05 03:54:00'),</v>
      </c>
    </row>
    <row r="577" spans="1:13" x14ac:dyDescent="0.2">
      <c r="A577">
        <v>5705</v>
      </c>
      <c r="B577">
        <v>859</v>
      </c>
      <c r="C577" t="s">
        <v>1063</v>
      </c>
      <c r="D577" t="s">
        <v>1641</v>
      </c>
      <c r="E577" t="s">
        <v>1068</v>
      </c>
      <c r="F577" s="8" t="s">
        <v>2637</v>
      </c>
      <c r="G577" t="str">
        <f t="shared" si="58"/>
        <v>(5705,</v>
      </c>
      <c r="H577" t="str">
        <f t="shared" si="59"/>
        <v>859,</v>
      </c>
      <c r="I577" t="str">
        <f t="shared" si="60"/>
        <v>'META',</v>
      </c>
      <c r="J577" t="str">
        <f t="shared" si="61"/>
        <v>536.72,</v>
      </c>
      <c r="K577" t="str">
        <f t="shared" si="62"/>
        <v>'BUY',</v>
      </c>
      <c r="L577" t="str">
        <f t="shared" si="63"/>
        <v>'2024-04-03 06:04:00'),</v>
      </c>
      <c r="M577" t="str">
        <f t="shared" si="64"/>
        <v>(5705,859,'META',536.72,'BUY','2024-04-03 06:04:00'),</v>
      </c>
    </row>
    <row r="578" spans="1:13" x14ac:dyDescent="0.2">
      <c r="A578">
        <v>4168</v>
      </c>
      <c r="B578">
        <v>582</v>
      </c>
      <c r="C578" t="s">
        <v>1069</v>
      </c>
      <c r="D578" t="s">
        <v>1642</v>
      </c>
      <c r="E578" t="s">
        <v>1062</v>
      </c>
      <c r="F578" s="8" t="s">
        <v>2638</v>
      </c>
      <c r="G578" t="str">
        <f t="shared" si="58"/>
        <v>(4168,</v>
      </c>
      <c r="H578" t="str">
        <f t="shared" si="59"/>
        <v>582,</v>
      </c>
      <c r="I578" t="str">
        <f t="shared" si="60"/>
        <v>'MSFT',</v>
      </c>
      <c r="J578" t="str">
        <f t="shared" si="61"/>
        <v>190.67,</v>
      </c>
      <c r="K578" t="str">
        <f t="shared" si="62"/>
        <v>'SELL',</v>
      </c>
      <c r="L578" t="str">
        <f t="shared" si="63"/>
        <v>'2024-04-27 07:34:00'),</v>
      </c>
      <c r="M578" t="str">
        <f t="shared" si="64"/>
        <v>(4168,582,'MSFT',190.67,'SELL','2024-04-27 07:34:00'),</v>
      </c>
    </row>
    <row r="579" spans="1:13" x14ac:dyDescent="0.2">
      <c r="A579">
        <v>7938</v>
      </c>
      <c r="B579">
        <v>663</v>
      </c>
      <c r="C579" t="s">
        <v>1069</v>
      </c>
      <c r="D579" t="s">
        <v>1643</v>
      </c>
      <c r="E579" t="s">
        <v>1062</v>
      </c>
      <c r="F579" s="8" t="s">
        <v>2639</v>
      </c>
      <c r="G579" t="str">
        <f t="shared" ref="G579:G642" si="65">"("&amp;A579&amp;","</f>
        <v>(7938,</v>
      </c>
      <c r="H579" t="str">
        <f t="shared" ref="H579:H642" si="66">B579&amp;","</f>
        <v>663,</v>
      </c>
      <c r="I579" t="str">
        <f t="shared" ref="I579:I642" si="67">"'"&amp;C579&amp;"',"</f>
        <v>'MSFT',</v>
      </c>
      <c r="J579" t="str">
        <f t="shared" ref="J579:J642" si="68">D579&amp;","</f>
        <v>298.25,</v>
      </c>
      <c r="K579" t="str">
        <f t="shared" ref="K579:K642" si="69">"'"&amp;E579&amp;"',"</f>
        <v>'SELL',</v>
      </c>
      <c r="L579" t="str">
        <f t="shared" ref="L579:L642" si="70">"'"&amp;F579&amp;"'),"</f>
        <v>'2024-05-16 09:18:00'),</v>
      </c>
      <c r="M579" t="str">
        <f t="shared" ref="M579:M642" si="71">G579&amp;H579&amp;I579&amp;J579&amp;K579&amp;L579</f>
        <v>(7938,663,'MSFT',298.25,'SELL','2024-05-16 09:18:00'),</v>
      </c>
    </row>
    <row r="580" spans="1:13" x14ac:dyDescent="0.2">
      <c r="A580">
        <v>5705</v>
      </c>
      <c r="B580">
        <v>595</v>
      </c>
      <c r="C580" t="s">
        <v>1066</v>
      </c>
      <c r="D580" t="s">
        <v>1644</v>
      </c>
      <c r="E580" t="s">
        <v>1062</v>
      </c>
      <c r="F580" s="8" t="s">
        <v>2640</v>
      </c>
      <c r="G580" t="str">
        <f t="shared" si="65"/>
        <v>(5705,</v>
      </c>
      <c r="H580" t="str">
        <f t="shared" si="66"/>
        <v>595,</v>
      </c>
      <c r="I580" t="str">
        <f t="shared" si="67"/>
        <v>'AMZN',</v>
      </c>
      <c r="J580" t="str">
        <f t="shared" si="68"/>
        <v>545.42,</v>
      </c>
      <c r="K580" t="str">
        <f t="shared" si="69"/>
        <v>'SELL',</v>
      </c>
      <c r="L580" t="str">
        <f t="shared" si="70"/>
        <v>'2024-01-14 18:06:00'),</v>
      </c>
      <c r="M580" t="str">
        <f t="shared" si="71"/>
        <v>(5705,595,'AMZN',545.42,'SELL','2024-01-14 18:06:00'),</v>
      </c>
    </row>
    <row r="581" spans="1:13" x14ac:dyDescent="0.2">
      <c r="A581">
        <v>7922</v>
      </c>
      <c r="B581">
        <v>992</v>
      </c>
      <c r="C581" t="s">
        <v>1066</v>
      </c>
      <c r="D581" t="s">
        <v>1645</v>
      </c>
      <c r="E581" t="s">
        <v>1062</v>
      </c>
      <c r="F581" s="8" t="s">
        <v>2641</v>
      </c>
      <c r="G581" t="str">
        <f t="shared" si="65"/>
        <v>(7922,</v>
      </c>
      <c r="H581" t="str">
        <f t="shared" si="66"/>
        <v>992,</v>
      </c>
      <c r="I581" t="str">
        <f t="shared" si="67"/>
        <v>'AMZN',</v>
      </c>
      <c r="J581" t="str">
        <f t="shared" si="68"/>
        <v>502.86,</v>
      </c>
      <c r="K581" t="str">
        <f t="shared" si="69"/>
        <v>'SELL',</v>
      </c>
      <c r="L581" t="str">
        <f t="shared" si="70"/>
        <v>'2024-04-02 21:11:00'),</v>
      </c>
      <c r="M581" t="str">
        <f t="shared" si="71"/>
        <v>(7922,992,'AMZN',502.86,'SELL','2024-04-02 21:11:00'),</v>
      </c>
    </row>
    <row r="582" spans="1:13" x14ac:dyDescent="0.2">
      <c r="A582">
        <v>5751</v>
      </c>
      <c r="B582">
        <v>104</v>
      </c>
      <c r="C582" t="s">
        <v>1063</v>
      </c>
      <c r="D582" t="s">
        <v>1646</v>
      </c>
      <c r="E582" t="s">
        <v>1068</v>
      </c>
      <c r="F582" s="8" t="s">
        <v>2642</v>
      </c>
      <c r="G582" t="str">
        <f t="shared" si="65"/>
        <v>(5751,</v>
      </c>
      <c r="H582" t="str">
        <f t="shared" si="66"/>
        <v>104,</v>
      </c>
      <c r="I582" t="str">
        <f t="shared" si="67"/>
        <v>'META',</v>
      </c>
      <c r="J582" t="str">
        <f t="shared" si="68"/>
        <v>677.97,</v>
      </c>
      <c r="K582" t="str">
        <f t="shared" si="69"/>
        <v>'BUY',</v>
      </c>
      <c r="L582" t="str">
        <f t="shared" si="70"/>
        <v>'2024-01-31 06:46:00'),</v>
      </c>
      <c r="M582" t="str">
        <f t="shared" si="71"/>
        <v>(5751,104,'META',677.97,'BUY','2024-01-31 06:46:00'),</v>
      </c>
    </row>
    <row r="583" spans="1:13" x14ac:dyDescent="0.2">
      <c r="A583">
        <v>9094</v>
      </c>
      <c r="B583">
        <v>17</v>
      </c>
      <c r="C583" t="s">
        <v>1066</v>
      </c>
      <c r="D583" t="s">
        <v>1647</v>
      </c>
      <c r="E583" t="s">
        <v>1062</v>
      </c>
      <c r="F583" s="8" t="s">
        <v>2643</v>
      </c>
      <c r="G583" t="str">
        <f t="shared" si="65"/>
        <v>(9094,</v>
      </c>
      <c r="H583" t="str">
        <f t="shared" si="66"/>
        <v>17,</v>
      </c>
      <c r="I583" t="str">
        <f t="shared" si="67"/>
        <v>'AMZN',</v>
      </c>
      <c r="J583" t="str">
        <f t="shared" si="68"/>
        <v>172.66,</v>
      </c>
      <c r="K583" t="str">
        <f t="shared" si="69"/>
        <v>'SELL',</v>
      </c>
      <c r="L583" t="str">
        <f t="shared" si="70"/>
        <v>'2024-04-05 16:00:00'),</v>
      </c>
      <c r="M583" t="str">
        <f t="shared" si="71"/>
        <v>(9094,17,'AMZN',172.66,'SELL','2024-04-05 16:00:00'),</v>
      </c>
    </row>
    <row r="584" spans="1:13" x14ac:dyDescent="0.2">
      <c r="A584">
        <v>2941</v>
      </c>
      <c r="B584">
        <v>652</v>
      </c>
      <c r="C584" t="s">
        <v>1069</v>
      </c>
      <c r="D584" t="s">
        <v>1648</v>
      </c>
      <c r="E584" t="s">
        <v>1068</v>
      </c>
      <c r="F584" s="8" t="s">
        <v>2644</v>
      </c>
      <c r="G584" t="str">
        <f t="shared" si="65"/>
        <v>(2941,</v>
      </c>
      <c r="H584" t="str">
        <f t="shared" si="66"/>
        <v>652,</v>
      </c>
      <c r="I584" t="str">
        <f t="shared" si="67"/>
        <v>'MSFT',</v>
      </c>
      <c r="J584" t="str">
        <f t="shared" si="68"/>
        <v>909.19,</v>
      </c>
      <c r="K584" t="str">
        <f t="shared" si="69"/>
        <v>'BUY',</v>
      </c>
      <c r="L584" t="str">
        <f t="shared" si="70"/>
        <v>'2024-01-12 22:52:00'),</v>
      </c>
      <c r="M584" t="str">
        <f t="shared" si="71"/>
        <v>(2941,652,'MSFT',909.19,'BUY','2024-01-12 22:52:00'),</v>
      </c>
    </row>
    <row r="585" spans="1:13" x14ac:dyDescent="0.2">
      <c r="A585">
        <v>4168</v>
      </c>
      <c r="B585">
        <v>645</v>
      </c>
      <c r="C585" t="s">
        <v>1066</v>
      </c>
      <c r="D585" t="s">
        <v>1649</v>
      </c>
      <c r="E585" t="s">
        <v>1068</v>
      </c>
      <c r="F585" s="8" t="s">
        <v>2645</v>
      </c>
      <c r="G585" t="str">
        <f t="shared" si="65"/>
        <v>(4168,</v>
      </c>
      <c r="H585" t="str">
        <f t="shared" si="66"/>
        <v>645,</v>
      </c>
      <c r="I585" t="str">
        <f t="shared" si="67"/>
        <v>'AMZN',</v>
      </c>
      <c r="J585" t="str">
        <f t="shared" si="68"/>
        <v>138.74,</v>
      </c>
      <c r="K585" t="str">
        <f t="shared" si="69"/>
        <v>'BUY',</v>
      </c>
      <c r="L585" t="str">
        <f t="shared" si="70"/>
        <v>'2024-04-08 12:30:00'),</v>
      </c>
      <c r="M585" t="str">
        <f t="shared" si="71"/>
        <v>(4168,645,'AMZN',138.74,'BUY','2024-04-08 12:30:00'),</v>
      </c>
    </row>
    <row r="586" spans="1:13" x14ac:dyDescent="0.2">
      <c r="A586">
        <v>6298</v>
      </c>
      <c r="B586">
        <v>595</v>
      </c>
      <c r="C586" t="s">
        <v>1063</v>
      </c>
      <c r="D586" t="s">
        <v>1650</v>
      </c>
      <c r="E586" t="s">
        <v>1068</v>
      </c>
      <c r="F586" s="8" t="s">
        <v>2646</v>
      </c>
      <c r="G586" t="str">
        <f t="shared" si="65"/>
        <v>(6298,</v>
      </c>
      <c r="H586" t="str">
        <f t="shared" si="66"/>
        <v>595,</v>
      </c>
      <c r="I586" t="str">
        <f t="shared" si="67"/>
        <v>'META',</v>
      </c>
      <c r="J586" t="str">
        <f t="shared" si="68"/>
        <v>266.08,</v>
      </c>
      <c r="K586" t="str">
        <f t="shared" si="69"/>
        <v>'BUY',</v>
      </c>
      <c r="L586" t="str">
        <f t="shared" si="70"/>
        <v>'2024-01-25 17:23:00'),</v>
      </c>
      <c r="M586" t="str">
        <f t="shared" si="71"/>
        <v>(6298,595,'META',266.08,'BUY','2024-01-25 17:23:00'),</v>
      </c>
    </row>
    <row r="587" spans="1:13" x14ac:dyDescent="0.2">
      <c r="A587">
        <v>5258</v>
      </c>
      <c r="B587">
        <v>174</v>
      </c>
      <c r="C587" t="s">
        <v>1060</v>
      </c>
      <c r="D587" t="s">
        <v>1651</v>
      </c>
      <c r="E587" t="s">
        <v>1062</v>
      </c>
      <c r="F587" s="8" t="s">
        <v>2647</v>
      </c>
      <c r="G587" t="str">
        <f t="shared" si="65"/>
        <v>(5258,</v>
      </c>
      <c r="H587" t="str">
        <f t="shared" si="66"/>
        <v>174,</v>
      </c>
      <c r="I587" t="str">
        <f t="shared" si="67"/>
        <v>'TSLA',</v>
      </c>
      <c r="J587" t="str">
        <f t="shared" si="68"/>
        <v>380.51,</v>
      </c>
      <c r="K587" t="str">
        <f t="shared" si="69"/>
        <v>'SELL',</v>
      </c>
      <c r="L587" t="str">
        <f t="shared" si="70"/>
        <v>'2024-05-03 20:18:00'),</v>
      </c>
      <c r="M587" t="str">
        <f t="shared" si="71"/>
        <v>(5258,174,'TSLA',380.51,'SELL','2024-05-03 20:18:00'),</v>
      </c>
    </row>
    <row r="588" spans="1:13" x14ac:dyDescent="0.2">
      <c r="A588">
        <v>2941</v>
      </c>
      <c r="B588">
        <v>735</v>
      </c>
      <c r="C588" t="s">
        <v>1063</v>
      </c>
      <c r="D588" t="s">
        <v>1652</v>
      </c>
      <c r="E588" t="s">
        <v>1068</v>
      </c>
      <c r="F588" s="8" t="s">
        <v>2648</v>
      </c>
      <c r="G588" t="str">
        <f t="shared" si="65"/>
        <v>(2941,</v>
      </c>
      <c r="H588" t="str">
        <f t="shared" si="66"/>
        <v>735,</v>
      </c>
      <c r="I588" t="str">
        <f t="shared" si="67"/>
        <v>'META',</v>
      </c>
      <c r="J588" t="str">
        <f t="shared" si="68"/>
        <v>658.2,</v>
      </c>
      <c r="K588" t="str">
        <f t="shared" si="69"/>
        <v>'BUY',</v>
      </c>
      <c r="L588" t="str">
        <f t="shared" si="70"/>
        <v>'2024-04-14 09:10:00'),</v>
      </c>
      <c r="M588" t="str">
        <f t="shared" si="71"/>
        <v>(2941,735,'META',658.2,'BUY','2024-04-14 09:10:00'),</v>
      </c>
    </row>
    <row r="589" spans="1:13" x14ac:dyDescent="0.2">
      <c r="A589">
        <v>1691</v>
      </c>
      <c r="B589">
        <v>982</v>
      </c>
      <c r="C589" t="s">
        <v>1069</v>
      </c>
      <c r="D589" t="s">
        <v>1653</v>
      </c>
      <c r="E589" t="s">
        <v>1068</v>
      </c>
      <c r="F589" s="8" t="s">
        <v>2649</v>
      </c>
      <c r="G589" t="str">
        <f t="shared" si="65"/>
        <v>(1691,</v>
      </c>
      <c r="H589" t="str">
        <f t="shared" si="66"/>
        <v>982,</v>
      </c>
      <c r="I589" t="str">
        <f t="shared" si="67"/>
        <v>'MSFT',</v>
      </c>
      <c r="J589" t="str">
        <f t="shared" si="68"/>
        <v>252.09,</v>
      </c>
      <c r="K589" t="str">
        <f t="shared" si="69"/>
        <v>'BUY',</v>
      </c>
      <c r="L589" t="str">
        <f t="shared" si="70"/>
        <v>'2024-01-10 03:20:00'),</v>
      </c>
      <c r="M589" t="str">
        <f t="shared" si="71"/>
        <v>(1691,982,'MSFT',252.09,'BUY','2024-01-10 03:20:00'),</v>
      </c>
    </row>
    <row r="590" spans="1:13" x14ac:dyDescent="0.2">
      <c r="A590">
        <v>9094</v>
      </c>
      <c r="B590">
        <v>653</v>
      </c>
      <c r="C590" t="s">
        <v>1066</v>
      </c>
      <c r="D590" t="s">
        <v>1654</v>
      </c>
      <c r="E590" t="s">
        <v>1062</v>
      </c>
      <c r="F590" s="8" t="s">
        <v>2650</v>
      </c>
      <c r="G590" t="str">
        <f t="shared" si="65"/>
        <v>(9094,</v>
      </c>
      <c r="H590" t="str">
        <f t="shared" si="66"/>
        <v>653,</v>
      </c>
      <c r="I590" t="str">
        <f t="shared" si="67"/>
        <v>'AMZN',</v>
      </c>
      <c r="J590" t="str">
        <f t="shared" si="68"/>
        <v>367.54,</v>
      </c>
      <c r="K590" t="str">
        <f t="shared" si="69"/>
        <v>'SELL',</v>
      </c>
      <c r="L590" t="str">
        <f t="shared" si="70"/>
        <v>'2024-04-10 15:34:00'),</v>
      </c>
      <c r="M590" t="str">
        <f t="shared" si="71"/>
        <v>(9094,653,'AMZN',367.54,'SELL','2024-04-10 15:34:00'),</v>
      </c>
    </row>
    <row r="591" spans="1:13" x14ac:dyDescent="0.2">
      <c r="A591">
        <v>9094</v>
      </c>
      <c r="B591">
        <v>237</v>
      </c>
      <c r="C591" t="s">
        <v>1066</v>
      </c>
      <c r="D591" t="s">
        <v>1655</v>
      </c>
      <c r="E591" t="s">
        <v>1062</v>
      </c>
      <c r="F591" s="8" t="s">
        <v>2651</v>
      </c>
      <c r="G591" t="str">
        <f t="shared" si="65"/>
        <v>(9094,</v>
      </c>
      <c r="H591" t="str">
        <f t="shared" si="66"/>
        <v>237,</v>
      </c>
      <c r="I591" t="str">
        <f t="shared" si="67"/>
        <v>'AMZN',</v>
      </c>
      <c r="J591" t="str">
        <f t="shared" si="68"/>
        <v>644.89,</v>
      </c>
      <c r="K591" t="str">
        <f t="shared" si="69"/>
        <v>'SELL',</v>
      </c>
      <c r="L591" t="str">
        <f t="shared" si="70"/>
        <v>'2024-02-29 14:38:00'),</v>
      </c>
      <c r="M591" t="str">
        <f t="shared" si="71"/>
        <v>(9094,237,'AMZN',644.89,'SELL','2024-02-29 14:38:00'),</v>
      </c>
    </row>
    <row r="592" spans="1:13" x14ac:dyDescent="0.2">
      <c r="A592">
        <v>7922</v>
      </c>
      <c r="B592">
        <v>202</v>
      </c>
      <c r="C592" t="s">
        <v>1069</v>
      </c>
      <c r="D592" t="s">
        <v>1656</v>
      </c>
      <c r="E592" t="s">
        <v>1068</v>
      </c>
      <c r="F592" s="8" t="s">
        <v>2652</v>
      </c>
      <c r="G592" t="str">
        <f t="shared" si="65"/>
        <v>(7922,</v>
      </c>
      <c r="H592" t="str">
        <f t="shared" si="66"/>
        <v>202,</v>
      </c>
      <c r="I592" t="str">
        <f t="shared" si="67"/>
        <v>'MSFT',</v>
      </c>
      <c r="J592" t="str">
        <f t="shared" si="68"/>
        <v>823.48,</v>
      </c>
      <c r="K592" t="str">
        <f t="shared" si="69"/>
        <v>'BUY',</v>
      </c>
      <c r="L592" t="str">
        <f t="shared" si="70"/>
        <v>'2024-03-31 04:38:00'),</v>
      </c>
      <c r="M592" t="str">
        <f t="shared" si="71"/>
        <v>(7922,202,'MSFT',823.48,'BUY','2024-03-31 04:38:00'),</v>
      </c>
    </row>
    <row r="593" spans="1:13" x14ac:dyDescent="0.2">
      <c r="A593">
        <v>5258</v>
      </c>
      <c r="B593">
        <v>611</v>
      </c>
      <c r="C593" t="s">
        <v>1066</v>
      </c>
      <c r="D593" t="s">
        <v>1657</v>
      </c>
      <c r="E593" t="s">
        <v>1068</v>
      </c>
      <c r="F593" s="8" t="s">
        <v>2653</v>
      </c>
      <c r="G593" t="str">
        <f t="shared" si="65"/>
        <v>(5258,</v>
      </c>
      <c r="H593" t="str">
        <f t="shared" si="66"/>
        <v>611,</v>
      </c>
      <c r="I593" t="str">
        <f t="shared" si="67"/>
        <v>'AMZN',</v>
      </c>
      <c r="J593" t="str">
        <f t="shared" si="68"/>
        <v>596.96,</v>
      </c>
      <c r="K593" t="str">
        <f t="shared" si="69"/>
        <v>'BUY',</v>
      </c>
      <c r="L593" t="str">
        <f t="shared" si="70"/>
        <v>'2024-01-18 04:45:00'),</v>
      </c>
      <c r="M593" t="str">
        <f t="shared" si="71"/>
        <v>(5258,611,'AMZN',596.96,'BUY','2024-01-18 04:45:00'),</v>
      </c>
    </row>
    <row r="594" spans="1:13" x14ac:dyDescent="0.2">
      <c r="A594">
        <v>4669</v>
      </c>
      <c r="B594">
        <v>363</v>
      </c>
      <c r="C594" t="s">
        <v>1069</v>
      </c>
      <c r="D594" t="s">
        <v>1658</v>
      </c>
      <c r="E594" t="s">
        <v>1068</v>
      </c>
      <c r="F594" s="8" t="s">
        <v>2654</v>
      </c>
      <c r="G594" t="str">
        <f t="shared" si="65"/>
        <v>(4669,</v>
      </c>
      <c r="H594" t="str">
        <f t="shared" si="66"/>
        <v>363,</v>
      </c>
      <c r="I594" t="str">
        <f t="shared" si="67"/>
        <v>'MSFT',</v>
      </c>
      <c r="J594" t="str">
        <f t="shared" si="68"/>
        <v>783.67,</v>
      </c>
      <c r="K594" t="str">
        <f t="shared" si="69"/>
        <v>'BUY',</v>
      </c>
      <c r="L594" t="str">
        <f t="shared" si="70"/>
        <v>'2024-04-03 22:11:00'),</v>
      </c>
      <c r="M594" t="str">
        <f t="shared" si="71"/>
        <v>(4669,363,'MSFT',783.67,'BUY','2024-04-03 22:11:00'),</v>
      </c>
    </row>
    <row r="595" spans="1:13" x14ac:dyDescent="0.2">
      <c r="A595">
        <v>5705</v>
      </c>
      <c r="B595">
        <v>262</v>
      </c>
      <c r="C595" t="s">
        <v>1069</v>
      </c>
      <c r="D595" t="s">
        <v>1659</v>
      </c>
      <c r="E595" t="s">
        <v>1062</v>
      </c>
      <c r="F595" s="8" t="s">
        <v>2655</v>
      </c>
      <c r="G595" t="str">
        <f t="shared" si="65"/>
        <v>(5705,</v>
      </c>
      <c r="H595" t="str">
        <f t="shared" si="66"/>
        <v>262,</v>
      </c>
      <c r="I595" t="str">
        <f t="shared" si="67"/>
        <v>'MSFT',</v>
      </c>
      <c r="J595" t="str">
        <f t="shared" si="68"/>
        <v>478.8,</v>
      </c>
      <c r="K595" t="str">
        <f t="shared" si="69"/>
        <v>'SELL',</v>
      </c>
      <c r="L595" t="str">
        <f t="shared" si="70"/>
        <v>'2024-03-13 04:54:00'),</v>
      </c>
      <c r="M595" t="str">
        <f t="shared" si="71"/>
        <v>(5705,262,'MSFT',478.8,'SELL','2024-03-13 04:54:00'),</v>
      </c>
    </row>
    <row r="596" spans="1:13" x14ac:dyDescent="0.2">
      <c r="A596">
        <v>6298</v>
      </c>
      <c r="B596">
        <v>893</v>
      </c>
      <c r="C596" t="s">
        <v>1066</v>
      </c>
      <c r="D596" t="s">
        <v>1660</v>
      </c>
      <c r="E596" t="s">
        <v>1068</v>
      </c>
      <c r="F596" s="8" t="s">
        <v>2656</v>
      </c>
      <c r="G596" t="str">
        <f t="shared" si="65"/>
        <v>(6298,</v>
      </c>
      <c r="H596" t="str">
        <f t="shared" si="66"/>
        <v>893,</v>
      </c>
      <c r="I596" t="str">
        <f t="shared" si="67"/>
        <v>'AMZN',</v>
      </c>
      <c r="J596" t="str">
        <f t="shared" si="68"/>
        <v>615.45,</v>
      </c>
      <c r="K596" t="str">
        <f t="shared" si="69"/>
        <v>'BUY',</v>
      </c>
      <c r="L596" t="str">
        <f t="shared" si="70"/>
        <v>'2024-05-09 07:52:00'),</v>
      </c>
      <c r="M596" t="str">
        <f t="shared" si="71"/>
        <v>(6298,893,'AMZN',615.45,'BUY','2024-05-09 07:52:00'),</v>
      </c>
    </row>
    <row r="597" spans="1:13" x14ac:dyDescent="0.2">
      <c r="A597">
        <v>4168</v>
      </c>
      <c r="B597">
        <v>877</v>
      </c>
      <c r="C597" t="s">
        <v>1066</v>
      </c>
      <c r="D597" t="s">
        <v>1661</v>
      </c>
      <c r="E597" t="s">
        <v>1062</v>
      </c>
      <c r="F597" s="8" t="s">
        <v>2657</v>
      </c>
      <c r="G597" t="str">
        <f t="shared" si="65"/>
        <v>(4168,</v>
      </c>
      <c r="H597" t="str">
        <f t="shared" si="66"/>
        <v>877,</v>
      </c>
      <c r="I597" t="str">
        <f t="shared" si="67"/>
        <v>'AMZN',</v>
      </c>
      <c r="J597" t="str">
        <f t="shared" si="68"/>
        <v>996.27,</v>
      </c>
      <c r="K597" t="str">
        <f t="shared" si="69"/>
        <v>'SELL',</v>
      </c>
      <c r="L597" t="str">
        <f t="shared" si="70"/>
        <v>'2024-02-27 15:32:00'),</v>
      </c>
      <c r="M597" t="str">
        <f t="shared" si="71"/>
        <v>(4168,877,'AMZN',996.27,'SELL','2024-02-27 15:32:00'),</v>
      </c>
    </row>
    <row r="598" spans="1:13" x14ac:dyDescent="0.2">
      <c r="A598">
        <v>7938</v>
      </c>
      <c r="B598">
        <v>897</v>
      </c>
      <c r="C598" t="s">
        <v>1069</v>
      </c>
      <c r="D598" t="s">
        <v>1662</v>
      </c>
      <c r="E598" t="s">
        <v>1062</v>
      </c>
      <c r="F598" s="8" t="s">
        <v>2658</v>
      </c>
      <c r="G598" t="str">
        <f t="shared" si="65"/>
        <v>(7938,</v>
      </c>
      <c r="H598" t="str">
        <f t="shared" si="66"/>
        <v>897,</v>
      </c>
      <c r="I598" t="str">
        <f t="shared" si="67"/>
        <v>'MSFT',</v>
      </c>
      <c r="J598" t="str">
        <f t="shared" si="68"/>
        <v>463.01,</v>
      </c>
      <c r="K598" t="str">
        <f t="shared" si="69"/>
        <v>'SELL',</v>
      </c>
      <c r="L598" t="str">
        <f t="shared" si="70"/>
        <v>'2024-03-24 17:21:00'),</v>
      </c>
      <c r="M598" t="str">
        <f t="shared" si="71"/>
        <v>(7938,897,'MSFT',463.01,'SELL','2024-03-24 17:21:00'),</v>
      </c>
    </row>
    <row r="599" spans="1:13" x14ac:dyDescent="0.2">
      <c r="A599">
        <v>1691</v>
      </c>
      <c r="B599">
        <v>191</v>
      </c>
      <c r="C599" t="s">
        <v>1069</v>
      </c>
      <c r="D599" t="s">
        <v>1663</v>
      </c>
      <c r="E599" t="s">
        <v>1068</v>
      </c>
      <c r="F599" s="8" t="s">
        <v>2659</v>
      </c>
      <c r="G599" t="str">
        <f t="shared" si="65"/>
        <v>(1691,</v>
      </c>
      <c r="H599" t="str">
        <f t="shared" si="66"/>
        <v>191,</v>
      </c>
      <c r="I599" t="str">
        <f t="shared" si="67"/>
        <v>'MSFT',</v>
      </c>
      <c r="J599" t="str">
        <f t="shared" si="68"/>
        <v>652.41,</v>
      </c>
      <c r="K599" t="str">
        <f t="shared" si="69"/>
        <v>'BUY',</v>
      </c>
      <c r="L599" t="str">
        <f t="shared" si="70"/>
        <v>'2024-01-25 07:00:00'),</v>
      </c>
      <c r="M599" t="str">
        <f t="shared" si="71"/>
        <v>(1691,191,'MSFT',652.41,'BUY','2024-01-25 07:00:00'),</v>
      </c>
    </row>
    <row r="600" spans="1:13" x14ac:dyDescent="0.2">
      <c r="A600">
        <v>9952</v>
      </c>
      <c r="B600">
        <v>586</v>
      </c>
      <c r="C600" t="s">
        <v>1060</v>
      </c>
      <c r="D600" t="s">
        <v>1664</v>
      </c>
      <c r="E600" t="s">
        <v>1068</v>
      </c>
      <c r="F600" s="8" t="s">
        <v>2660</v>
      </c>
      <c r="G600" t="str">
        <f t="shared" si="65"/>
        <v>(9952,</v>
      </c>
      <c r="H600" t="str">
        <f t="shared" si="66"/>
        <v>586,</v>
      </c>
      <c r="I600" t="str">
        <f t="shared" si="67"/>
        <v>'TSLA',</v>
      </c>
      <c r="J600" t="str">
        <f t="shared" si="68"/>
        <v>647.71,</v>
      </c>
      <c r="K600" t="str">
        <f t="shared" si="69"/>
        <v>'BUY',</v>
      </c>
      <c r="L600" t="str">
        <f t="shared" si="70"/>
        <v>'2024-01-25 00:00:00'),</v>
      </c>
      <c r="M600" t="str">
        <f t="shared" si="71"/>
        <v>(9952,586,'TSLA',647.71,'BUY','2024-01-25 00:00:00'),</v>
      </c>
    </row>
    <row r="601" spans="1:13" x14ac:dyDescent="0.2">
      <c r="A601">
        <v>5705</v>
      </c>
      <c r="B601">
        <v>41</v>
      </c>
      <c r="C601" t="s">
        <v>1069</v>
      </c>
      <c r="D601" t="s">
        <v>1665</v>
      </c>
      <c r="E601" t="s">
        <v>1062</v>
      </c>
      <c r="F601" s="8" t="s">
        <v>2661</v>
      </c>
      <c r="G601" t="str">
        <f t="shared" si="65"/>
        <v>(5705,</v>
      </c>
      <c r="H601" t="str">
        <f t="shared" si="66"/>
        <v>41,</v>
      </c>
      <c r="I601" t="str">
        <f t="shared" si="67"/>
        <v>'MSFT',</v>
      </c>
      <c r="J601" t="str">
        <f t="shared" si="68"/>
        <v>988.31,</v>
      </c>
      <c r="K601" t="str">
        <f t="shared" si="69"/>
        <v>'SELL',</v>
      </c>
      <c r="L601" t="str">
        <f t="shared" si="70"/>
        <v>'2024-03-30 07:02:00'),</v>
      </c>
      <c r="M601" t="str">
        <f t="shared" si="71"/>
        <v>(5705,41,'MSFT',988.31,'SELL','2024-03-30 07:02:00'),</v>
      </c>
    </row>
    <row r="602" spans="1:13" x14ac:dyDescent="0.2">
      <c r="A602">
        <v>9094</v>
      </c>
      <c r="B602">
        <v>921</v>
      </c>
      <c r="C602" t="s">
        <v>1060</v>
      </c>
      <c r="D602" t="s">
        <v>1666</v>
      </c>
      <c r="E602" t="s">
        <v>1062</v>
      </c>
      <c r="F602" s="8" t="s">
        <v>2662</v>
      </c>
      <c r="G602" t="str">
        <f t="shared" si="65"/>
        <v>(9094,</v>
      </c>
      <c r="H602" t="str">
        <f t="shared" si="66"/>
        <v>921,</v>
      </c>
      <c r="I602" t="str">
        <f t="shared" si="67"/>
        <v>'TSLA',</v>
      </c>
      <c r="J602" t="str">
        <f t="shared" si="68"/>
        <v>493.9,</v>
      </c>
      <c r="K602" t="str">
        <f t="shared" si="69"/>
        <v>'SELL',</v>
      </c>
      <c r="L602" t="str">
        <f t="shared" si="70"/>
        <v>'2024-04-11 19:21:00'),</v>
      </c>
      <c r="M602" t="str">
        <f t="shared" si="71"/>
        <v>(9094,921,'TSLA',493.9,'SELL','2024-04-11 19:21:00'),</v>
      </c>
    </row>
    <row r="603" spans="1:13" x14ac:dyDescent="0.2">
      <c r="A603">
        <v>5297</v>
      </c>
      <c r="B603">
        <v>127</v>
      </c>
      <c r="C603" t="s">
        <v>1069</v>
      </c>
      <c r="D603" t="s">
        <v>1667</v>
      </c>
      <c r="E603" t="s">
        <v>1062</v>
      </c>
      <c r="F603" s="8" t="s">
        <v>2663</v>
      </c>
      <c r="G603" t="str">
        <f t="shared" si="65"/>
        <v>(5297,</v>
      </c>
      <c r="H603" t="str">
        <f t="shared" si="66"/>
        <v>127,</v>
      </c>
      <c r="I603" t="str">
        <f t="shared" si="67"/>
        <v>'MSFT',</v>
      </c>
      <c r="J603" t="str">
        <f t="shared" si="68"/>
        <v>926.68,</v>
      </c>
      <c r="K603" t="str">
        <f t="shared" si="69"/>
        <v>'SELL',</v>
      </c>
      <c r="L603" t="str">
        <f t="shared" si="70"/>
        <v>'2024-03-24 01:23:00'),</v>
      </c>
      <c r="M603" t="str">
        <f t="shared" si="71"/>
        <v>(5297,127,'MSFT',926.68,'SELL','2024-03-24 01:23:00'),</v>
      </c>
    </row>
    <row r="604" spans="1:13" x14ac:dyDescent="0.2">
      <c r="A604">
        <v>5258</v>
      </c>
      <c r="B604">
        <v>96</v>
      </c>
      <c r="C604" t="s">
        <v>1069</v>
      </c>
      <c r="D604" t="s">
        <v>1668</v>
      </c>
      <c r="E604" t="s">
        <v>1062</v>
      </c>
      <c r="F604" s="8" t="s">
        <v>2664</v>
      </c>
      <c r="G604" t="str">
        <f t="shared" si="65"/>
        <v>(5258,</v>
      </c>
      <c r="H604" t="str">
        <f t="shared" si="66"/>
        <v>96,</v>
      </c>
      <c r="I604" t="str">
        <f t="shared" si="67"/>
        <v>'MSFT',</v>
      </c>
      <c r="J604" t="str">
        <f t="shared" si="68"/>
        <v>657.62,</v>
      </c>
      <c r="K604" t="str">
        <f t="shared" si="69"/>
        <v>'SELL',</v>
      </c>
      <c r="L604" t="str">
        <f t="shared" si="70"/>
        <v>'2024-02-23 14:24:00'),</v>
      </c>
      <c r="M604" t="str">
        <f t="shared" si="71"/>
        <v>(5258,96,'MSFT',657.62,'SELL','2024-02-23 14:24:00'),</v>
      </c>
    </row>
    <row r="605" spans="1:13" x14ac:dyDescent="0.2">
      <c r="A605">
        <v>7922</v>
      </c>
      <c r="B605">
        <v>929</v>
      </c>
      <c r="C605" t="s">
        <v>1060</v>
      </c>
      <c r="D605" t="s">
        <v>1669</v>
      </c>
      <c r="E605" t="s">
        <v>1068</v>
      </c>
      <c r="F605" s="8" t="s">
        <v>2665</v>
      </c>
      <c r="G605" t="str">
        <f t="shared" si="65"/>
        <v>(7922,</v>
      </c>
      <c r="H605" t="str">
        <f t="shared" si="66"/>
        <v>929,</v>
      </c>
      <c r="I605" t="str">
        <f t="shared" si="67"/>
        <v>'TSLA',</v>
      </c>
      <c r="J605" t="str">
        <f t="shared" si="68"/>
        <v>727.47,</v>
      </c>
      <c r="K605" t="str">
        <f t="shared" si="69"/>
        <v>'BUY',</v>
      </c>
      <c r="L605" t="str">
        <f t="shared" si="70"/>
        <v>'2024-02-10 10:23:00'),</v>
      </c>
      <c r="M605" t="str">
        <f t="shared" si="71"/>
        <v>(7922,929,'TSLA',727.47,'BUY','2024-02-10 10:23:00'),</v>
      </c>
    </row>
    <row r="606" spans="1:13" x14ac:dyDescent="0.2">
      <c r="A606">
        <v>7938</v>
      </c>
      <c r="B606">
        <v>474</v>
      </c>
      <c r="C606" t="s">
        <v>1063</v>
      </c>
      <c r="D606" t="s">
        <v>1670</v>
      </c>
      <c r="E606" t="s">
        <v>1062</v>
      </c>
      <c r="F606" s="8" t="s">
        <v>2666</v>
      </c>
      <c r="G606" t="str">
        <f t="shared" si="65"/>
        <v>(7938,</v>
      </c>
      <c r="H606" t="str">
        <f t="shared" si="66"/>
        <v>474,</v>
      </c>
      <c r="I606" t="str">
        <f t="shared" si="67"/>
        <v>'META',</v>
      </c>
      <c r="J606" t="str">
        <f t="shared" si="68"/>
        <v>990.96,</v>
      </c>
      <c r="K606" t="str">
        <f t="shared" si="69"/>
        <v>'SELL',</v>
      </c>
      <c r="L606" t="str">
        <f t="shared" si="70"/>
        <v>'2024-04-09 19:19:00'),</v>
      </c>
      <c r="M606" t="str">
        <f t="shared" si="71"/>
        <v>(7938,474,'META',990.96,'SELL','2024-04-09 19:19:00'),</v>
      </c>
    </row>
    <row r="607" spans="1:13" x14ac:dyDescent="0.2">
      <c r="A607">
        <v>6298</v>
      </c>
      <c r="B607">
        <v>539</v>
      </c>
      <c r="C607" t="s">
        <v>1063</v>
      </c>
      <c r="D607" t="s">
        <v>1671</v>
      </c>
      <c r="E607" t="s">
        <v>1062</v>
      </c>
      <c r="F607" s="8" t="s">
        <v>2667</v>
      </c>
      <c r="G607" t="str">
        <f t="shared" si="65"/>
        <v>(6298,</v>
      </c>
      <c r="H607" t="str">
        <f t="shared" si="66"/>
        <v>539,</v>
      </c>
      <c r="I607" t="str">
        <f t="shared" si="67"/>
        <v>'META',</v>
      </c>
      <c r="J607" t="str">
        <f t="shared" si="68"/>
        <v>104.27,</v>
      </c>
      <c r="K607" t="str">
        <f t="shared" si="69"/>
        <v>'SELL',</v>
      </c>
      <c r="L607" t="str">
        <f t="shared" si="70"/>
        <v>'2024-02-02 22:55:00'),</v>
      </c>
      <c r="M607" t="str">
        <f t="shared" si="71"/>
        <v>(6298,539,'META',104.27,'SELL','2024-02-02 22:55:00'),</v>
      </c>
    </row>
    <row r="608" spans="1:13" x14ac:dyDescent="0.2">
      <c r="A608">
        <v>9952</v>
      </c>
      <c r="B608">
        <v>114</v>
      </c>
      <c r="C608" t="s">
        <v>1060</v>
      </c>
      <c r="D608" t="s">
        <v>1672</v>
      </c>
      <c r="E608" t="s">
        <v>1062</v>
      </c>
      <c r="F608" s="8" t="s">
        <v>2668</v>
      </c>
      <c r="G608" t="str">
        <f t="shared" si="65"/>
        <v>(9952,</v>
      </c>
      <c r="H608" t="str">
        <f t="shared" si="66"/>
        <v>114,</v>
      </c>
      <c r="I608" t="str">
        <f t="shared" si="67"/>
        <v>'TSLA',</v>
      </c>
      <c r="J608" t="str">
        <f t="shared" si="68"/>
        <v>587.99,</v>
      </c>
      <c r="K608" t="str">
        <f t="shared" si="69"/>
        <v>'SELL',</v>
      </c>
      <c r="L608" t="str">
        <f t="shared" si="70"/>
        <v>'2024-03-13 04:17:00'),</v>
      </c>
      <c r="M608" t="str">
        <f t="shared" si="71"/>
        <v>(9952,114,'TSLA',587.99,'SELL','2024-03-13 04:17:00'),</v>
      </c>
    </row>
    <row r="609" spans="1:13" x14ac:dyDescent="0.2">
      <c r="A609">
        <v>1691</v>
      </c>
      <c r="B609">
        <v>756</v>
      </c>
      <c r="C609" t="s">
        <v>1063</v>
      </c>
      <c r="D609" t="s">
        <v>1673</v>
      </c>
      <c r="E609" t="s">
        <v>1068</v>
      </c>
      <c r="F609" s="8" t="s">
        <v>2669</v>
      </c>
      <c r="G609" t="str">
        <f t="shared" si="65"/>
        <v>(1691,</v>
      </c>
      <c r="H609" t="str">
        <f t="shared" si="66"/>
        <v>756,</v>
      </c>
      <c r="I609" t="str">
        <f t="shared" si="67"/>
        <v>'META',</v>
      </c>
      <c r="J609" t="str">
        <f t="shared" si="68"/>
        <v>796.6,</v>
      </c>
      <c r="K609" t="str">
        <f t="shared" si="69"/>
        <v>'BUY',</v>
      </c>
      <c r="L609" t="str">
        <f t="shared" si="70"/>
        <v>'2024-05-10 04:38:00'),</v>
      </c>
      <c r="M609" t="str">
        <f t="shared" si="71"/>
        <v>(1691,756,'META',796.6,'BUY','2024-05-10 04:38:00'),</v>
      </c>
    </row>
    <row r="610" spans="1:13" x14ac:dyDescent="0.2">
      <c r="A610">
        <v>1691</v>
      </c>
      <c r="B610">
        <v>87</v>
      </c>
      <c r="C610" t="s">
        <v>1060</v>
      </c>
      <c r="D610" t="s">
        <v>1674</v>
      </c>
      <c r="E610" t="s">
        <v>1068</v>
      </c>
      <c r="F610" s="8" t="s">
        <v>2670</v>
      </c>
      <c r="G610" t="str">
        <f t="shared" si="65"/>
        <v>(1691,</v>
      </c>
      <c r="H610" t="str">
        <f t="shared" si="66"/>
        <v>87,</v>
      </c>
      <c r="I610" t="str">
        <f t="shared" si="67"/>
        <v>'TSLA',</v>
      </c>
      <c r="J610" t="str">
        <f t="shared" si="68"/>
        <v>698.63,</v>
      </c>
      <c r="K610" t="str">
        <f t="shared" si="69"/>
        <v>'BUY',</v>
      </c>
      <c r="L610" t="str">
        <f t="shared" si="70"/>
        <v>'2024-01-25 19:58:00'),</v>
      </c>
      <c r="M610" t="str">
        <f t="shared" si="71"/>
        <v>(1691,87,'TSLA',698.63,'BUY','2024-01-25 19:58:00'),</v>
      </c>
    </row>
    <row r="611" spans="1:13" x14ac:dyDescent="0.2">
      <c r="A611">
        <v>5258</v>
      </c>
      <c r="B611">
        <v>771</v>
      </c>
      <c r="C611" t="s">
        <v>1069</v>
      </c>
      <c r="D611" t="s">
        <v>1675</v>
      </c>
      <c r="E611" t="s">
        <v>1068</v>
      </c>
      <c r="F611" s="8" t="s">
        <v>2671</v>
      </c>
      <c r="G611" t="str">
        <f t="shared" si="65"/>
        <v>(5258,</v>
      </c>
      <c r="H611" t="str">
        <f t="shared" si="66"/>
        <v>771,</v>
      </c>
      <c r="I611" t="str">
        <f t="shared" si="67"/>
        <v>'MSFT',</v>
      </c>
      <c r="J611" t="str">
        <f t="shared" si="68"/>
        <v>326.19,</v>
      </c>
      <c r="K611" t="str">
        <f t="shared" si="69"/>
        <v>'BUY',</v>
      </c>
      <c r="L611" t="str">
        <f t="shared" si="70"/>
        <v>'2024-01-09 16:00:00'),</v>
      </c>
      <c r="M611" t="str">
        <f t="shared" si="71"/>
        <v>(5258,771,'MSFT',326.19,'BUY','2024-01-09 16:00:00'),</v>
      </c>
    </row>
    <row r="612" spans="1:13" x14ac:dyDescent="0.2">
      <c r="A612">
        <v>5751</v>
      </c>
      <c r="B612">
        <v>815</v>
      </c>
      <c r="C612" t="s">
        <v>1060</v>
      </c>
      <c r="D612" t="s">
        <v>1676</v>
      </c>
      <c r="E612" t="s">
        <v>1062</v>
      </c>
      <c r="F612" s="8" t="s">
        <v>2672</v>
      </c>
      <c r="G612" t="str">
        <f t="shared" si="65"/>
        <v>(5751,</v>
      </c>
      <c r="H612" t="str">
        <f t="shared" si="66"/>
        <v>815,</v>
      </c>
      <c r="I612" t="str">
        <f t="shared" si="67"/>
        <v>'TSLA',</v>
      </c>
      <c r="J612" t="str">
        <f t="shared" si="68"/>
        <v>989.09,</v>
      </c>
      <c r="K612" t="str">
        <f t="shared" si="69"/>
        <v>'SELL',</v>
      </c>
      <c r="L612" t="str">
        <f t="shared" si="70"/>
        <v>'2024-04-26 05:39:00'),</v>
      </c>
      <c r="M612" t="str">
        <f t="shared" si="71"/>
        <v>(5751,815,'TSLA',989.09,'SELL','2024-04-26 05:39:00'),</v>
      </c>
    </row>
    <row r="613" spans="1:13" x14ac:dyDescent="0.2">
      <c r="A613">
        <v>4710</v>
      </c>
      <c r="B613">
        <v>463</v>
      </c>
      <c r="C613" t="s">
        <v>1069</v>
      </c>
      <c r="D613" t="s">
        <v>1677</v>
      </c>
      <c r="E613" t="s">
        <v>1068</v>
      </c>
      <c r="F613" s="8" t="s">
        <v>2673</v>
      </c>
      <c r="G613" t="str">
        <f t="shared" si="65"/>
        <v>(4710,</v>
      </c>
      <c r="H613" t="str">
        <f t="shared" si="66"/>
        <v>463,</v>
      </c>
      <c r="I613" t="str">
        <f t="shared" si="67"/>
        <v>'MSFT',</v>
      </c>
      <c r="J613" t="str">
        <f t="shared" si="68"/>
        <v>358.16,</v>
      </c>
      <c r="K613" t="str">
        <f t="shared" si="69"/>
        <v>'BUY',</v>
      </c>
      <c r="L613" t="str">
        <f t="shared" si="70"/>
        <v>'2024-02-06 10:47:00'),</v>
      </c>
      <c r="M613" t="str">
        <f t="shared" si="71"/>
        <v>(4710,463,'MSFT',358.16,'BUY','2024-02-06 10:47:00'),</v>
      </c>
    </row>
    <row r="614" spans="1:13" x14ac:dyDescent="0.2">
      <c r="A614">
        <v>9094</v>
      </c>
      <c r="B614">
        <v>887</v>
      </c>
      <c r="C614" t="s">
        <v>1060</v>
      </c>
      <c r="D614" t="s">
        <v>1678</v>
      </c>
      <c r="E614" t="s">
        <v>1068</v>
      </c>
      <c r="F614" s="8" t="s">
        <v>2674</v>
      </c>
      <c r="G614" t="str">
        <f t="shared" si="65"/>
        <v>(9094,</v>
      </c>
      <c r="H614" t="str">
        <f t="shared" si="66"/>
        <v>887,</v>
      </c>
      <c r="I614" t="str">
        <f t="shared" si="67"/>
        <v>'TSLA',</v>
      </c>
      <c r="J614" t="str">
        <f t="shared" si="68"/>
        <v>220.92,</v>
      </c>
      <c r="K614" t="str">
        <f t="shared" si="69"/>
        <v>'BUY',</v>
      </c>
      <c r="L614" t="str">
        <f t="shared" si="70"/>
        <v>'2024-03-09 21:26:00'),</v>
      </c>
      <c r="M614" t="str">
        <f t="shared" si="71"/>
        <v>(9094,887,'TSLA',220.92,'BUY','2024-03-09 21:26:00'),</v>
      </c>
    </row>
    <row r="615" spans="1:13" x14ac:dyDescent="0.2">
      <c r="A615">
        <v>2941</v>
      </c>
      <c r="B615">
        <v>567</v>
      </c>
      <c r="C615" t="s">
        <v>1060</v>
      </c>
      <c r="D615" t="s">
        <v>1679</v>
      </c>
      <c r="E615" t="s">
        <v>1068</v>
      </c>
      <c r="F615" s="8" t="s">
        <v>2675</v>
      </c>
      <c r="G615" t="str">
        <f t="shared" si="65"/>
        <v>(2941,</v>
      </c>
      <c r="H615" t="str">
        <f t="shared" si="66"/>
        <v>567,</v>
      </c>
      <c r="I615" t="str">
        <f t="shared" si="67"/>
        <v>'TSLA',</v>
      </c>
      <c r="J615" t="str">
        <f t="shared" si="68"/>
        <v>226.35,</v>
      </c>
      <c r="K615" t="str">
        <f t="shared" si="69"/>
        <v>'BUY',</v>
      </c>
      <c r="L615" t="str">
        <f t="shared" si="70"/>
        <v>'2024-05-13 00:51:00'),</v>
      </c>
      <c r="M615" t="str">
        <f t="shared" si="71"/>
        <v>(2941,567,'TSLA',226.35,'BUY','2024-05-13 00:51:00'),</v>
      </c>
    </row>
    <row r="616" spans="1:13" x14ac:dyDescent="0.2">
      <c r="A616">
        <v>7938</v>
      </c>
      <c r="B616">
        <v>119</v>
      </c>
      <c r="C616" t="s">
        <v>1069</v>
      </c>
      <c r="D616" t="s">
        <v>1680</v>
      </c>
      <c r="E616" t="s">
        <v>1062</v>
      </c>
      <c r="F616" s="8" t="s">
        <v>2676</v>
      </c>
      <c r="G616" t="str">
        <f t="shared" si="65"/>
        <v>(7938,</v>
      </c>
      <c r="H616" t="str">
        <f t="shared" si="66"/>
        <v>119,</v>
      </c>
      <c r="I616" t="str">
        <f t="shared" si="67"/>
        <v>'MSFT',</v>
      </c>
      <c r="J616" t="str">
        <f t="shared" si="68"/>
        <v>715.04,</v>
      </c>
      <c r="K616" t="str">
        <f t="shared" si="69"/>
        <v>'SELL',</v>
      </c>
      <c r="L616" t="str">
        <f t="shared" si="70"/>
        <v>'2024-01-12 09:07:00'),</v>
      </c>
      <c r="M616" t="str">
        <f t="shared" si="71"/>
        <v>(7938,119,'MSFT',715.04,'SELL','2024-01-12 09:07:00'),</v>
      </c>
    </row>
    <row r="617" spans="1:13" x14ac:dyDescent="0.2">
      <c r="A617">
        <v>7938</v>
      </c>
      <c r="B617">
        <v>621</v>
      </c>
      <c r="C617" t="s">
        <v>1069</v>
      </c>
      <c r="D617" t="s">
        <v>1681</v>
      </c>
      <c r="E617" t="s">
        <v>1062</v>
      </c>
      <c r="F617" s="8" t="s">
        <v>2677</v>
      </c>
      <c r="G617" t="str">
        <f t="shared" si="65"/>
        <v>(7938,</v>
      </c>
      <c r="H617" t="str">
        <f t="shared" si="66"/>
        <v>621,</v>
      </c>
      <c r="I617" t="str">
        <f t="shared" si="67"/>
        <v>'MSFT',</v>
      </c>
      <c r="J617" t="str">
        <f t="shared" si="68"/>
        <v>297.14,</v>
      </c>
      <c r="K617" t="str">
        <f t="shared" si="69"/>
        <v>'SELL',</v>
      </c>
      <c r="L617" t="str">
        <f t="shared" si="70"/>
        <v>'2024-01-03 01:16:00'),</v>
      </c>
      <c r="M617" t="str">
        <f t="shared" si="71"/>
        <v>(7938,621,'MSFT',297.14,'SELL','2024-01-03 01:16:00'),</v>
      </c>
    </row>
    <row r="618" spans="1:13" x14ac:dyDescent="0.2">
      <c r="A618">
        <v>9094</v>
      </c>
      <c r="B618">
        <v>209</v>
      </c>
      <c r="C618" t="s">
        <v>1066</v>
      </c>
      <c r="D618" t="s">
        <v>1682</v>
      </c>
      <c r="E618" t="s">
        <v>1062</v>
      </c>
      <c r="F618" s="8" t="s">
        <v>2678</v>
      </c>
      <c r="G618" t="str">
        <f t="shared" si="65"/>
        <v>(9094,</v>
      </c>
      <c r="H618" t="str">
        <f t="shared" si="66"/>
        <v>209,</v>
      </c>
      <c r="I618" t="str">
        <f t="shared" si="67"/>
        <v>'AMZN',</v>
      </c>
      <c r="J618" t="str">
        <f t="shared" si="68"/>
        <v>534.01,</v>
      </c>
      <c r="K618" t="str">
        <f t="shared" si="69"/>
        <v>'SELL',</v>
      </c>
      <c r="L618" t="str">
        <f t="shared" si="70"/>
        <v>'2024-03-29 14:15:00'),</v>
      </c>
      <c r="M618" t="str">
        <f t="shared" si="71"/>
        <v>(9094,209,'AMZN',534.01,'SELL','2024-03-29 14:15:00'),</v>
      </c>
    </row>
    <row r="619" spans="1:13" x14ac:dyDescent="0.2">
      <c r="A619">
        <v>4669</v>
      </c>
      <c r="B619">
        <v>410</v>
      </c>
      <c r="C619" t="s">
        <v>1069</v>
      </c>
      <c r="D619" t="s">
        <v>1683</v>
      </c>
      <c r="E619" t="s">
        <v>1068</v>
      </c>
      <c r="F619" s="8" t="s">
        <v>2679</v>
      </c>
      <c r="G619" t="str">
        <f t="shared" si="65"/>
        <v>(4669,</v>
      </c>
      <c r="H619" t="str">
        <f t="shared" si="66"/>
        <v>410,</v>
      </c>
      <c r="I619" t="str">
        <f t="shared" si="67"/>
        <v>'MSFT',</v>
      </c>
      <c r="J619" t="str">
        <f t="shared" si="68"/>
        <v>759.58,</v>
      </c>
      <c r="K619" t="str">
        <f t="shared" si="69"/>
        <v>'BUY',</v>
      </c>
      <c r="L619" t="str">
        <f t="shared" si="70"/>
        <v>'2024-03-02 00:04:00'),</v>
      </c>
      <c r="M619" t="str">
        <f t="shared" si="71"/>
        <v>(4669,410,'MSFT',759.58,'BUY','2024-03-02 00:04:00'),</v>
      </c>
    </row>
    <row r="620" spans="1:13" x14ac:dyDescent="0.2">
      <c r="A620">
        <v>5705</v>
      </c>
      <c r="B620">
        <v>803</v>
      </c>
      <c r="C620" t="s">
        <v>1066</v>
      </c>
      <c r="D620" t="s">
        <v>1684</v>
      </c>
      <c r="E620" t="s">
        <v>1068</v>
      </c>
      <c r="F620" s="8" t="s">
        <v>2680</v>
      </c>
      <c r="G620" t="str">
        <f t="shared" si="65"/>
        <v>(5705,</v>
      </c>
      <c r="H620" t="str">
        <f t="shared" si="66"/>
        <v>803,</v>
      </c>
      <c r="I620" t="str">
        <f t="shared" si="67"/>
        <v>'AMZN',</v>
      </c>
      <c r="J620" t="str">
        <f t="shared" si="68"/>
        <v>958.19,</v>
      </c>
      <c r="K620" t="str">
        <f t="shared" si="69"/>
        <v>'BUY',</v>
      </c>
      <c r="L620" t="str">
        <f t="shared" si="70"/>
        <v>'2024-01-16 02:08:00'),</v>
      </c>
      <c r="M620" t="str">
        <f t="shared" si="71"/>
        <v>(5705,803,'AMZN',958.19,'BUY','2024-01-16 02:08:00'),</v>
      </c>
    </row>
    <row r="621" spans="1:13" x14ac:dyDescent="0.2">
      <c r="A621">
        <v>7531</v>
      </c>
      <c r="B621">
        <v>935</v>
      </c>
      <c r="C621" t="s">
        <v>1060</v>
      </c>
      <c r="D621" t="s">
        <v>1685</v>
      </c>
      <c r="E621" t="s">
        <v>1068</v>
      </c>
      <c r="F621" s="8" t="s">
        <v>2681</v>
      </c>
      <c r="G621" t="str">
        <f t="shared" si="65"/>
        <v>(7531,</v>
      </c>
      <c r="H621" t="str">
        <f t="shared" si="66"/>
        <v>935,</v>
      </c>
      <c r="I621" t="str">
        <f t="shared" si="67"/>
        <v>'TSLA',</v>
      </c>
      <c r="J621" t="str">
        <f t="shared" si="68"/>
        <v>593.08,</v>
      </c>
      <c r="K621" t="str">
        <f t="shared" si="69"/>
        <v>'BUY',</v>
      </c>
      <c r="L621" t="str">
        <f t="shared" si="70"/>
        <v>'2024-02-08 02:58:00'),</v>
      </c>
      <c r="M621" t="str">
        <f t="shared" si="71"/>
        <v>(7531,935,'TSLA',593.08,'BUY','2024-02-08 02:58:00'),</v>
      </c>
    </row>
    <row r="622" spans="1:13" x14ac:dyDescent="0.2">
      <c r="A622">
        <v>7938</v>
      </c>
      <c r="B622">
        <v>467</v>
      </c>
      <c r="C622" t="s">
        <v>1060</v>
      </c>
      <c r="D622" t="s">
        <v>1686</v>
      </c>
      <c r="E622" t="s">
        <v>1062</v>
      </c>
      <c r="F622" s="8" t="s">
        <v>2682</v>
      </c>
      <c r="G622" t="str">
        <f t="shared" si="65"/>
        <v>(7938,</v>
      </c>
      <c r="H622" t="str">
        <f t="shared" si="66"/>
        <v>467,</v>
      </c>
      <c r="I622" t="str">
        <f t="shared" si="67"/>
        <v>'TSLA',</v>
      </c>
      <c r="J622" t="str">
        <f t="shared" si="68"/>
        <v>925.31,</v>
      </c>
      <c r="K622" t="str">
        <f t="shared" si="69"/>
        <v>'SELL',</v>
      </c>
      <c r="L622" t="str">
        <f t="shared" si="70"/>
        <v>'2024-03-21 19:32:00'),</v>
      </c>
      <c r="M622" t="str">
        <f t="shared" si="71"/>
        <v>(7938,467,'TSLA',925.31,'SELL','2024-03-21 19:32:00'),</v>
      </c>
    </row>
    <row r="623" spans="1:13" x14ac:dyDescent="0.2">
      <c r="A623">
        <v>7938</v>
      </c>
      <c r="B623">
        <v>384</v>
      </c>
      <c r="C623" t="s">
        <v>1063</v>
      </c>
      <c r="D623" t="s">
        <v>1687</v>
      </c>
      <c r="E623" t="s">
        <v>1062</v>
      </c>
      <c r="F623" s="8" t="s">
        <v>2683</v>
      </c>
      <c r="G623" t="str">
        <f t="shared" si="65"/>
        <v>(7938,</v>
      </c>
      <c r="H623" t="str">
        <f t="shared" si="66"/>
        <v>384,</v>
      </c>
      <c r="I623" t="str">
        <f t="shared" si="67"/>
        <v>'META',</v>
      </c>
      <c r="J623" t="str">
        <f t="shared" si="68"/>
        <v>633.1,</v>
      </c>
      <c r="K623" t="str">
        <f t="shared" si="69"/>
        <v>'SELL',</v>
      </c>
      <c r="L623" t="str">
        <f t="shared" si="70"/>
        <v>'2024-04-20 00:35:00'),</v>
      </c>
      <c r="M623" t="str">
        <f t="shared" si="71"/>
        <v>(7938,384,'META',633.1,'SELL','2024-04-20 00:35:00'),</v>
      </c>
    </row>
    <row r="624" spans="1:13" x14ac:dyDescent="0.2">
      <c r="A624">
        <v>7922</v>
      </c>
      <c r="B624">
        <v>178</v>
      </c>
      <c r="C624" t="s">
        <v>1066</v>
      </c>
      <c r="D624" t="s">
        <v>1688</v>
      </c>
      <c r="E624" t="s">
        <v>1068</v>
      </c>
      <c r="F624" s="8" t="s">
        <v>2684</v>
      </c>
      <c r="G624" t="str">
        <f t="shared" si="65"/>
        <v>(7922,</v>
      </c>
      <c r="H624" t="str">
        <f t="shared" si="66"/>
        <v>178,</v>
      </c>
      <c r="I624" t="str">
        <f t="shared" si="67"/>
        <v>'AMZN',</v>
      </c>
      <c r="J624" t="str">
        <f t="shared" si="68"/>
        <v>183.82,</v>
      </c>
      <c r="K624" t="str">
        <f t="shared" si="69"/>
        <v>'BUY',</v>
      </c>
      <c r="L624" t="str">
        <f t="shared" si="70"/>
        <v>'2024-05-10 17:50:00'),</v>
      </c>
      <c r="M624" t="str">
        <f t="shared" si="71"/>
        <v>(7922,178,'AMZN',183.82,'BUY','2024-05-10 17:50:00'),</v>
      </c>
    </row>
    <row r="625" spans="1:13" x14ac:dyDescent="0.2">
      <c r="A625">
        <v>4710</v>
      </c>
      <c r="B625">
        <v>74</v>
      </c>
      <c r="C625" t="s">
        <v>1066</v>
      </c>
      <c r="D625" t="s">
        <v>1689</v>
      </c>
      <c r="E625" t="s">
        <v>1062</v>
      </c>
      <c r="F625" s="8" t="s">
        <v>2685</v>
      </c>
      <c r="G625" t="str">
        <f t="shared" si="65"/>
        <v>(4710,</v>
      </c>
      <c r="H625" t="str">
        <f t="shared" si="66"/>
        <v>74,</v>
      </c>
      <c r="I625" t="str">
        <f t="shared" si="67"/>
        <v>'AMZN',</v>
      </c>
      <c r="J625" t="str">
        <f t="shared" si="68"/>
        <v>615.89,</v>
      </c>
      <c r="K625" t="str">
        <f t="shared" si="69"/>
        <v>'SELL',</v>
      </c>
      <c r="L625" t="str">
        <f t="shared" si="70"/>
        <v>'2024-05-01 22:36:00'),</v>
      </c>
      <c r="M625" t="str">
        <f t="shared" si="71"/>
        <v>(4710,74,'AMZN',615.89,'SELL','2024-05-01 22:36:00'),</v>
      </c>
    </row>
    <row r="626" spans="1:13" x14ac:dyDescent="0.2">
      <c r="A626">
        <v>4710</v>
      </c>
      <c r="B626">
        <v>829</v>
      </c>
      <c r="C626" t="s">
        <v>1063</v>
      </c>
      <c r="D626" t="s">
        <v>1690</v>
      </c>
      <c r="E626" t="s">
        <v>1068</v>
      </c>
      <c r="F626" s="8" t="s">
        <v>2686</v>
      </c>
      <c r="G626" t="str">
        <f t="shared" si="65"/>
        <v>(4710,</v>
      </c>
      <c r="H626" t="str">
        <f t="shared" si="66"/>
        <v>829,</v>
      </c>
      <c r="I626" t="str">
        <f t="shared" si="67"/>
        <v>'META',</v>
      </c>
      <c r="J626" t="str">
        <f t="shared" si="68"/>
        <v>371.95,</v>
      </c>
      <c r="K626" t="str">
        <f t="shared" si="69"/>
        <v>'BUY',</v>
      </c>
      <c r="L626" t="str">
        <f t="shared" si="70"/>
        <v>'2024-04-16 18:41:00'),</v>
      </c>
      <c r="M626" t="str">
        <f t="shared" si="71"/>
        <v>(4710,829,'META',371.95,'BUY','2024-04-16 18:41:00'),</v>
      </c>
    </row>
    <row r="627" spans="1:13" x14ac:dyDescent="0.2">
      <c r="A627">
        <v>5258</v>
      </c>
      <c r="B627">
        <v>825</v>
      </c>
      <c r="C627" t="s">
        <v>1069</v>
      </c>
      <c r="D627" t="s">
        <v>1691</v>
      </c>
      <c r="E627" t="s">
        <v>1062</v>
      </c>
      <c r="F627" s="8" t="s">
        <v>2687</v>
      </c>
      <c r="G627" t="str">
        <f t="shared" si="65"/>
        <v>(5258,</v>
      </c>
      <c r="H627" t="str">
        <f t="shared" si="66"/>
        <v>825,</v>
      </c>
      <c r="I627" t="str">
        <f t="shared" si="67"/>
        <v>'MSFT',</v>
      </c>
      <c r="J627" t="str">
        <f t="shared" si="68"/>
        <v>374.43,</v>
      </c>
      <c r="K627" t="str">
        <f t="shared" si="69"/>
        <v>'SELL',</v>
      </c>
      <c r="L627" t="str">
        <f t="shared" si="70"/>
        <v>'2024-04-01 01:57:00'),</v>
      </c>
      <c r="M627" t="str">
        <f t="shared" si="71"/>
        <v>(5258,825,'MSFT',374.43,'SELL','2024-04-01 01:57:00'),</v>
      </c>
    </row>
    <row r="628" spans="1:13" x14ac:dyDescent="0.2">
      <c r="A628">
        <v>7922</v>
      </c>
      <c r="B628">
        <v>114</v>
      </c>
      <c r="C628" t="s">
        <v>1069</v>
      </c>
      <c r="D628" t="s">
        <v>1692</v>
      </c>
      <c r="E628" t="s">
        <v>1062</v>
      </c>
      <c r="F628" s="8" t="s">
        <v>2688</v>
      </c>
      <c r="G628" t="str">
        <f t="shared" si="65"/>
        <v>(7922,</v>
      </c>
      <c r="H628" t="str">
        <f t="shared" si="66"/>
        <v>114,</v>
      </c>
      <c r="I628" t="str">
        <f t="shared" si="67"/>
        <v>'MSFT',</v>
      </c>
      <c r="J628" t="str">
        <f t="shared" si="68"/>
        <v>769.38,</v>
      </c>
      <c r="K628" t="str">
        <f t="shared" si="69"/>
        <v>'SELL',</v>
      </c>
      <c r="L628" t="str">
        <f t="shared" si="70"/>
        <v>'2024-02-07 18:46:00'),</v>
      </c>
      <c r="M628" t="str">
        <f t="shared" si="71"/>
        <v>(7922,114,'MSFT',769.38,'SELL','2024-02-07 18:46:00'),</v>
      </c>
    </row>
    <row r="629" spans="1:13" x14ac:dyDescent="0.2">
      <c r="A629">
        <v>9952</v>
      </c>
      <c r="B629">
        <v>652</v>
      </c>
      <c r="C629" t="s">
        <v>1066</v>
      </c>
      <c r="D629" t="s">
        <v>1693</v>
      </c>
      <c r="E629" t="s">
        <v>1062</v>
      </c>
      <c r="F629" s="8" t="s">
        <v>2689</v>
      </c>
      <c r="G629" t="str">
        <f t="shared" si="65"/>
        <v>(9952,</v>
      </c>
      <c r="H629" t="str">
        <f t="shared" si="66"/>
        <v>652,</v>
      </c>
      <c r="I629" t="str">
        <f t="shared" si="67"/>
        <v>'AMZN',</v>
      </c>
      <c r="J629" t="str">
        <f t="shared" si="68"/>
        <v>571.8,</v>
      </c>
      <c r="K629" t="str">
        <f t="shared" si="69"/>
        <v>'SELL',</v>
      </c>
      <c r="L629" t="str">
        <f t="shared" si="70"/>
        <v>'2024-04-21 21:40:00'),</v>
      </c>
      <c r="M629" t="str">
        <f t="shared" si="71"/>
        <v>(9952,652,'AMZN',571.8,'SELL','2024-04-21 21:40:00'),</v>
      </c>
    </row>
    <row r="630" spans="1:13" x14ac:dyDescent="0.2">
      <c r="A630">
        <v>5258</v>
      </c>
      <c r="B630">
        <v>874</v>
      </c>
      <c r="C630" t="s">
        <v>1066</v>
      </c>
      <c r="D630" t="s">
        <v>1694</v>
      </c>
      <c r="E630" t="s">
        <v>1062</v>
      </c>
      <c r="F630" s="8" t="s">
        <v>2690</v>
      </c>
      <c r="G630" t="str">
        <f t="shared" si="65"/>
        <v>(5258,</v>
      </c>
      <c r="H630" t="str">
        <f t="shared" si="66"/>
        <v>874,</v>
      </c>
      <c r="I630" t="str">
        <f t="shared" si="67"/>
        <v>'AMZN',</v>
      </c>
      <c r="J630" t="str">
        <f t="shared" si="68"/>
        <v>830.74,</v>
      </c>
      <c r="K630" t="str">
        <f t="shared" si="69"/>
        <v>'SELL',</v>
      </c>
      <c r="L630" t="str">
        <f t="shared" si="70"/>
        <v>'2024-04-20 13:24:00'),</v>
      </c>
      <c r="M630" t="str">
        <f t="shared" si="71"/>
        <v>(5258,874,'AMZN',830.74,'SELL','2024-04-20 13:24:00'),</v>
      </c>
    </row>
    <row r="631" spans="1:13" x14ac:dyDescent="0.2">
      <c r="A631">
        <v>9094</v>
      </c>
      <c r="B631">
        <v>646</v>
      </c>
      <c r="C631" t="s">
        <v>1066</v>
      </c>
      <c r="D631" t="s">
        <v>1695</v>
      </c>
      <c r="E631" t="s">
        <v>1062</v>
      </c>
      <c r="F631" s="8" t="s">
        <v>2691</v>
      </c>
      <c r="G631" t="str">
        <f t="shared" si="65"/>
        <v>(9094,</v>
      </c>
      <c r="H631" t="str">
        <f t="shared" si="66"/>
        <v>646,</v>
      </c>
      <c r="I631" t="str">
        <f t="shared" si="67"/>
        <v>'AMZN',</v>
      </c>
      <c r="J631" t="str">
        <f t="shared" si="68"/>
        <v>996.99,</v>
      </c>
      <c r="K631" t="str">
        <f t="shared" si="69"/>
        <v>'SELL',</v>
      </c>
      <c r="L631" t="str">
        <f t="shared" si="70"/>
        <v>'2024-02-22 18:38:00'),</v>
      </c>
      <c r="M631" t="str">
        <f t="shared" si="71"/>
        <v>(9094,646,'AMZN',996.99,'SELL','2024-02-22 18:38:00'),</v>
      </c>
    </row>
    <row r="632" spans="1:13" x14ac:dyDescent="0.2">
      <c r="A632">
        <v>9952</v>
      </c>
      <c r="B632">
        <v>647</v>
      </c>
      <c r="C632" t="s">
        <v>1069</v>
      </c>
      <c r="D632" t="s">
        <v>1696</v>
      </c>
      <c r="E632" t="s">
        <v>1062</v>
      </c>
      <c r="F632" s="8" t="s">
        <v>2692</v>
      </c>
      <c r="G632" t="str">
        <f t="shared" si="65"/>
        <v>(9952,</v>
      </c>
      <c r="H632" t="str">
        <f t="shared" si="66"/>
        <v>647,</v>
      </c>
      <c r="I632" t="str">
        <f t="shared" si="67"/>
        <v>'MSFT',</v>
      </c>
      <c r="J632" t="str">
        <f t="shared" si="68"/>
        <v>162.83,</v>
      </c>
      <c r="K632" t="str">
        <f t="shared" si="69"/>
        <v>'SELL',</v>
      </c>
      <c r="L632" t="str">
        <f t="shared" si="70"/>
        <v>'2024-04-15 13:37:00'),</v>
      </c>
      <c r="M632" t="str">
        <f t="shared" si="71"/>
        <v>(9952,647,'MSFT',162.83,'SELL','2024-04-15 13:37:00'),</v>
      </c>
    </row>
    <row r="633" spans="1:13" x14ac:dyDescent="0.2">
      <c r="A633">
        <v>5751</v>
      </c>
      <c r="B633">
        <v>579</v>
      </c>
      <c r="C633" t="s">
        <v>1060</v>
      </c>
      <c r="D633" t="s">
        <v>1697</v>
      </c>
      <c r="E633" t="s">
        <v>1068</v>
      </c>
      <c r="F633" s="8" t="s">
        <v>2693</v>
      </c>
      <c r="G633" t="str">
        <f t="shared" si="65"/>
        <v>(5751,</v>
      </c>
      <c r="H633" t="str">
        <f t="shared" si="66"/>
        <v>579,</v>
      </c>
      <c r="I633" t="str">
        <f t="shared" si="67"/>
        <v>'TSLA',</v>
      </c>
      <c r="J633" t="str">
        <f t="shared" si="68"/>
        <v>890.15,</v>
      </c>
      <c r="K633" t="str">
        <f t="shared" si="69"/>
        <v>'BUY',</v>
      </c>
      <c r="L633" t="str">
        <f t="shared" si="70"/>
        <v>'2024-02-14 14:12:00'),</v>
      </c>
      <c r="M633" t="str">
        <f t="shared" si="71"/>
        <v>(5751,579,'TSLA',890.15,'BUY','2024-02-14 14:12:00'),</v>
      </c>
    </row>
    <row r="634" spans="1:13" x14ac:dyDescent="0.2">
      <c r="A634">
        <v>5258</v>
      </c>
      <c r="B634">
        <v>658</v>
      </c>
      <c r="C634" t="s">
        <v>1063</v>
      </c>
      <c r="D634" t="s">
        <v>1698</v>
      </c>
      <c r="E634" t="s">
        <v>1062</v>
      </c>
      <c r="F634" s="8" t="s">
        <v>2694</v>
      </c>
      <c r="G634" t="str">
        <f t="shared" si="65"/>
        <v>(5258,</v>
      </c>
      <c r="H634" t="str">
        <f t="shared" si="66"/>
        <v>658,</v>
      </c>
      <c r="I634" t="str">
        <f t="shared" si="67"/>
        <v>'META',</v>
      </c>
      <c r="J634" t="str">
        <f t="shared" si="68"/>
        <v>289.03,</v>
      </c>
      <c r="K634" t="str">
        <f t="shared" si="69"/>
        <v>'SELL',</v>
      </c>
      <c r="L634" t="str">
        <f t="shared" si="70"/>
        <v>'2024-05-24 06:41:00'),</v>
      </c>
      <c r="M634" t="str">
        <f t="shared" si="71"/>
        <v>(5258,658,'META',289.03,'SELL','2024-05-24 06:41:00'),</v>
      </c>
    </row>
    <row r="635" spans="1:13" x14ac:dyDescent="0.2">
      <c r="A635">
        <v>6298</v>
      </c>
      <c r="B635">
        <v>382</v>
      </c>
      <c r="C635" t="s">
        <v>1060</v>
      </c>
      <c r="D635" t="s">
        <v>1699</v>
      </c>
      <c r="E635" t="s">
        <v>1062</v>
      </c>
      <c r="F635" s="8" t="s">
        <v>2695</v>
      </c>
      <c r="G635" t="str">
        <f t="shared" si="65"/>
        <v>(6298,</v>
      </c>
      <c r="H635" t="str">
        <f t="shared" si="66"/>
        <v>382,</v>
      </c>
      <c r="I635" t="str">
        <f t="shared" si="67"/>
        <v>'TSLA',</v>
      </c>
      <c r="J635" t="str">
        <f t="shared" si="68"/>
        <v>540.91,</v>
      </c>
      <c r="K635" t="str">
        <f t="shared" si="69"/>
        <v>'SELL',</v>
      </c>
      <c r="L635" t="str">
        <f t="shared" si="70"/>
        <v>'2024-04-07 05:51:00'),</v>
      </c>
      <c r="M635" t="str">
        <f t="shared" si="71"/>
        <v>(6298,382,'TSLA',540.91,'SELL','2024-04-07 05:51:00'),</v>
      </c>
    </row>
    <row r="636" spans="1:13" x14ac:dyDescent="0.2">
      <c r="A636">
        <v>9952</v>
      </c>
      <c r="B636">
        <v>243</v>
      </c>
      <c r="C636" t="s">
        <v>1069</v>
      </c>
      <c r="D636" t="s">
        <v>1700</v>
      </c>
      <c r="E636" t="s">
        <v>1068</v>
      </c>
      <c r="F636" s="8" t="s">
        <v>2696</v>
      </c>
      <c r="G636" t="str">
        <f t="shared" si="65"/>
        <v>(9952,</v>
      </c>
      <c r="H636" t="str">
        <f t="shared" si="66"/>
        <v>243,</v>
      </c>
      <c r="I636" t="str">
        <f t="shared" si="67"/>
        <v>'MSFT',</v>
      </c>
      <c r="J636" t="str">
        <f t="shared" si="68"/>
        <v>865.9,</v>
      </c>
      <c r="K636" t="str">
        <f t="shared" si="69"/>
        <v>'BUY',</v>
      </c>
      <c r="L636" t="str">
        <f t="shared" si="70"/>
        <v>'2024-02-07 21:44:00'),</v>
      </c>
      <c r="M636" t="str">
        <f t="shared" si="71"/>
        <v>(9952,243,'MSFT',865.9,'BUY','2024-02-07 21:44:00'),</v>
      </c>
    </row>
    <row r="637" spans="1:13" x14ac:dyDescent="0.2">
      <c r="A637">
        <v>4168</v>
      </c>
      <c r="B637">
        <v>334</v>
      </c>
      <c r="C637" t="s">
        <v>1066</v>
      </c>
      <c r="D637" t="s">
        <v>1701</v>
      </c>
      <c r="E637" t="s">
        <v>1062</v>
      </c>
      <c r="F637" s="8" t="s">
        <v>2697</v>
      </c>
      <c r="G637" t="str">
        <f t="shared" si="65"/>
        <v>(4168,</v>
      </c>
      <c r="H637" t="str">
        <f t="shared" si="66"/>
        <v>334,</v>
      </c>
      <c r="I637" t="str">
        <f t="shared" si="67"/>
        <v>'AMZN',</v>
      </c>
      <c r="J637" t="str">
        <f t="shared" si="68"/>
        <v>967.23,</v>
      </c>
      <c r="K637" t="str">
        <f t="shared" si="69"/>
        <v>'SELL',</v>
      </c>
      <c r="L637" t="str">
        <f t="shared" si="70"/>
        <v>'2024-03-12 03:03:00'),</v>
      </c>
      <c r="M637" t="str">
        <f t="shared" si="71"/>
        <v>(4168,334,'AMZN',967.23,'SELL','2024-03-12 03:03:00'),</v>
      </c>
    </row>
    <row r="638" spans="1:13" x14ac:dyDescent="0.2">
      <c r="A638">
        <v>6298</v>
      </c>
      <c r="B638">
        <v>567</v>
      </c>
      <c r="C638" t="s">
        <v>1060</v>
      </c>
      <c r="D638" t="s">
        <v>1702</v>
      </c>
      <c r="E638" t="s">
        <v>1068</v>
      </c>
      <c r="F638" s="8" t="s">
        <v>2698</v>
      </c>
      <c r="G638" t="str">
        <f t="shared" si="65"/>
        <v>(6298,</v>
      </c>
      <c r="H638" t="str">
        <f t="shared" si="66"/>
        <v>567,</v>
      </c>
      <c r="I638" t="str">
        <f t="shared" si="67"/>
        <v>'TSLA',</v>
      </c>
      <c r="J638" t="str">
        <f t="shared" si="68"/>
        <v>946.4,</v>
      </c>
      <c r="K638" t="str">
        <f t="shared" si="69"/>
        <v>'BUY',</v>
      </c>
      <c r="L638" t="str">
        <f t="shared" si="70"/>
        <v>'2024-01-12 05:40:00'),</v>
      </c>
      <c r="M638" t="str">
        <f t="shared" si="71"/>
        <v>(6298,567,'TSLA',946.4,'BUY','2024-01-12 05:40:00'),</v>
      </c>
    </row>
    <row r="639" spans="1:13" x14ac:dyDescent="0.2">
      <c r="A639">
        <v>7922</v>
      </c>
      <c r="B639">
        <v>292</v>
      </c>
      <c r="C639" t="s">
        <v>1066</v>
      </c>
      <c r="D639" t="s">
        <v>1703</v>
      </c>
      <c r="E639" t="s">
        <v>1068</v>
      </c>
      <c r="F639" s="8" t="s">
        <v>2699</v>
      </c>
      <c r="G639" t="str">
        <f t="shared" si="65"/>
        <v>(7922,</v>
      </c>
      <c r="H639" t="str">
        <f t="shared" si="66"/>
        <v>292,</v>
      </c>
      <c r="I639" t="str">
        <f t="shared" si="67"/>
        <v>'AMZN',</v>
      </c>
      <c r="J639" t="str">
        <f t="shared" si="68"/>
        <v>738.81,</v>
      </c>
      <c r="K639" t="str">
        <f t="shared" si="69"/>
        <v>'BUY',</v>
      </c>
      <c r="L639" t="str">
        <f t="shared" si="70"/>
        <v>'2024-01-26 09:27:00'),</v>
      </c>
      <c r="M639" t="str">
        <f t="shared" si="71"/>
        <v>(7922,292,'AMZN',738.81,'BUY','2024-01-26 09:27:00'),</v>
      </c>
    </row>
    <row r="640" spans="1:13" x14ac:dyDescent="0.2">
      <c r="A640">
        <v>5297</v>
      </c>
      <c r="B640">
        <v>674</v>
      </c>
      <c r="C640" t="s">
        <v>1063</v>
      </c>
      <c r="D640" t="s">
        <v>1704</v>
      </c>
      <c r="E640" t="s">
        <v>1062</v>
      </c>
      <c r="F640" s="8" t="s">
        <v>2700</v>
      </c>
      <c r="G640" t="str">
        <f t="shared" si="65"/>
        <v>(5297,</v>
      </c>
      <c r="H640" t="str">
        <f t="shared" si="66"/>
        <v>674,</v>
      </c>
      <c r="I640" t="str">
        <f t="shared" si="67"/>
        <v>'META',</v>
      </c>
      <c r="J640" t="str">
        <f t="shared" si="68"/>
        <v>750.28,</v>
      </c>
      <c r="K640" t="str">
        <f t="shared" si="69"/>
        <v>'SELL',</v>
      </c>
      <c r="L640" t="str">
        <f t="shared" si="70"/>
        <v>'2024-02-28 09:21:00'),</v>
      </c>
      <c r="M640" t="str">
        <f t="shared" si="71"/>
        <v>(5297,674,'META',750.28,'SELL','2024-02-28 09:21:00'),</v>
      </c>
    </row>
    <row r="641" spans="1:13" x14ac:dyDescent="0.2">
      <c r="A641">
        <v>5751</v>
      </c>
      <c r="B641">
        <v>246</v>
      </c>
      <c r="C641" t="s">
        <v>1060</v>
      </c>
      <c r="D641" t="s">
        <v>1705</v>
      </c>
      <c r="E641" t="s">
        <v>1068</v>
      </c>
      <c r="F641" s="8" t="s">
        <v>2701</v>
      </c>
      <c r="G641" t="str">
        <f t="shared" si="65"/>
        <v>(5751,</v>
      </c>
      <c r="H641" t="str">
        <f t="shared" si="66"/>
        <v>246,</v>
      </c>
      <c r="I641" t="str">
        <f t="shared" si="67"/>
        <v>'TSLA',</v>
      </c>
      <c r="J641" t="str">
        <f t="shared" si="68"/>
        <v>798.84,</v>
      </c>
      <c r="K641" t="str">
        <f t="shared" si="69"/>
        <v>'BUY',</v>
      </c>
      <c r="L641" t="str">
        <f t="shared" si="70"/>
        <v>'2024-02-28 21:45:00'),</v>
      </c>
      <c r="M641" t="str">
        <f t="shared" si="71"/>
        <v>(5751,246,'TSLA',798.84,'BUY','2024-02-28 21:45:00'),</v>
      </c>
    </row>
    <row r="642" spans="1:13" x14ac:dyDescent="0.2">
      <c r="A642">
        <v>9094</v>
      </c>
      <c r="B642">
        <v>522</v>
      </c>
      <c r="C642" t="s">
        <v>1063</v>
      </c>
      <c r="D642" t="s">
        <v>1706</v>
      </c>
      <c r="E642" t="s">
        <v>1068</v>
      </c>
      <c r="F642" s="8" t="s">
        <v>2702</v>
      </c>
      <c r="G642" t="str">
        <f t="shared" si="65"/>
        <v>(9094,</v>
      </c>
      <c r="H642" t="str">
        <f t="shared" si="66"/>
        <v>522,</v>
      </c>
      <c r="I642" t="str">
        <f t="shared" si="67"/>
        <v>'META',</v>
      </c>
      <c r="J642" t="str">
        <f t="shared" si="68"/>
        <v>560.23,</v>
      </c>
      <c r="K642" t="str">
        <f t="shared" si="69"/>
        <v>'BUY',</v>
      </c>
      <c r="L642" t="str">
        <f t="shared" si="70"/>
        <v>'2024-03-19 20:39:00'),</v>
      </c>
      <c r="M642" t="str">
        <f t="shared" si="71"/>
        <v>(9094,522,'META',560.23,'BUY','2024-03-19 20:39:00'),</v>
      </c>
    </row>
    <row r="643" spans="1:13" x14ac:dyDescent="0.2">
      <c r="A643">
        <v>5751</v>
      </c>
      <c r="B643">
        <v>465</v>
      </c>
      <c r="C643" t="s">
        <v>1063</v>
      </c>
      <c r="D643" t="s">
        <v>1707</v>
      </c>
      <c r="E643" t="s">
        <v>1068</v>
      </c>
      <c r="F643" s="8" t="s">
        <v>2703</v>
      </c>
      <c r="G643" t="str">
        <f t="shared" ref="G643:G706" si="72">"("&amp;A643&amp;","</f>
        <v>(5751,</v>
      </c>
      <c r="H643" t="str">
        <f t="shared" ref="H643:H706" si="73">B643&amp;","</f>
        <v>465,</v>
      </c>
      <c r="I643" t="str">
        <f t="shared" ref="I643:I706" si="74">"'"&amp;C643&amp;"',"</f>
        <v>'META',</v>
      </c>
      <c r="J643" t="str">
        <f t="shared" ref="J643:J706" si="75">D643&amp;","</f>
        <v>633.08,</v>
      </c>
      <c r="K643" t="str">
        <f t="shared" ref="K643:K706" si="76">"'"&amp;E643&amp;"',"</f>
        <v>'BUY',</v>
      </c>
      <c r="L643" t="str">
        <f t="shared" ref="L643:L706" si="77">"'"&amp;F643&amp;"'),"</f>
        <v>'2024-02-04 02:19:00'),</v>
      </c>
      <c r="M643" t="str">
        <f t="shared" ref="M643:M706" si="78">G643&amp;H643&amp;I643&amp;J643&amp;K643&amp;L643</f>
        <v>(5751,465,'META',633.08,'BUY','2024-02-04 02:19:00'),</v>
      </c>
    </row>
    <row r="644" spans="1:13" x14ac:dyDescent="0.2">
      <c r="A644">
        <v>5705</v>
      </c>
      <c r="B644">
        <v>175</v>
      </c>
      <c r="C644" t="s">
        <v>1069</v>
      </c>
      <c r="D644" t="s">
        <v>1708</v>
      </c>
      <c r="E644" t="s">
        <v>1068</v>
      </c>
      <c r="F644" s="8" t="s">
        <v>2704</v>
      </c>
      <c r="G644" t="str">
        <f t="shared" si="72"/>
        <v>(5705,</v>
      </c>
      <c r="H644" t="str">
        <f t="shared" si="73"/>
        <v>175,</v>
      </c>
      <c r="I644" t="str">
        <f t="shared" si="74"/>
        <v>'MSFT',</v>
      </c>
      <c r="J644" t="str">
        <f t="shared" si="75"/>
        <v>429.1,</v>
      </c>
      <c r="K644" t="str">
        <f t="shared" si="76"/>
        <v>'BUY',</v>
      </c>
      <c r="L644" t="str">
        <f t="shared" si="77"/>
        <v>'2024-02-10 15:48:00'),</v>
      </c>
      <c r="M644" t="str">
        <f t="shared" si="78"/>
        <v>(5705,175,'MSFT',429.1,'BUY','2024-02-10 15:48:00'),</v>
      </c>
    </row>
    <row r="645" spans="1:13" x14ac:dyDescent="0.2">
      <c r="A645">
        <v>4710</v>
      </c>
      <c r="B645">
        <v>563</v>
      </c>
      <c r="C645" t="s">
        <v>1060</v>
      </c>
      <c r="D645" t="s">
        <v>1709</v>
      </c>
      <c r="E645" t="s">
        <v>1068</v>
      </c>
      <c r="F645" s="8" t="s">
        <v>2705</v>
      </c>
      <c r="G645" t="str">
        <f t="shared" si="72"/>
        <v>(4710,</v>
      </c>
      <c r="H645" t="str">
        <f t="shared" si="73"/>
        <v>563,</v>
      </c>
      <c r="I645" t="str">
        <f t="shared" si="74"/>
        <v>'TSLA',</v>
      </c>
      <c r="J645" t="str">
        <f t="shared" si="75"/>
        <v>693.74,</v>
      </c>
      <c r="K645" t="str">
        <f t="shared" si="76"/>
        <v>'BUY',</v>
      </c>
      <c r="L645" t="str">
        <f t="shared" si="77"/>
        <v>'2024-02-09 15:50:00'),</v>
      </c>
      <c r="M645" t="str">
        <f t="shared" si="78"/>
        <v>(4710,563,'TSLA',693.74,'BUY','2024-02-09 15:50:00'),</v>
      </c>
    </row>
    <row r="646" spans="1:13" x14ac:dyDescent="0.2">
      <c r="A646">
        <v>1691</v>
      </c>
      <c r="B646">
        <v>517</v>
      </c>
      <c r="C646" t="s">
        <v>1069</v>
      </c>
      <c r="D646" t="s">
        <v>1710</v>
      </c>
      <c r="E646" t="s">
        <v>1068</v>
      </c>
      <c r="F646" s="8" t="s">
        <v>2706</v>
      </c>
      <c r="G646" t="str">
        <f t="shared" si="72"/>
        <v>(1691,</v>
      </c>
      <c r="H646" t="str">
        <f t="shared" si="73"/>
        <v>517,</v>
      </c>
      <c r="I646" t="str">
        <f t="shared" si="74"/>
        <v>'MSFT',</v>
      </c>
      <c r="J646" t="str">
        <f t="shared" si="75"/>
        <v>784.44,</v>
      </c>
      <c r="K646" t="str">
        <f t="shared" si="76"/>
        <v>'BUY',</v>
      </c>
      <c r="L646" t="str">
        <f t="shared" si="77"/>
        <v>'2024-03-02 18:57:00'),</v>
      </c>
      <c r="M646" t="str">
        <f t="shared" si="78"/>
        <v>(1691,517,'MSFT',784.44,'BUY','2024-03-02 18:57:00'),</v>
      </c>
    </row>
    <row r="647" spans="1:13" x14ac:dyDescent="0.2">
      <c r="A647">
        <v>2941</v>
      </c>
      <c r="B647">
        <v>25</v>
      </c>
      <c r="C647" t="s">
        <v>1063</v>
      </c>
      <c r="D647" t="s">
        <v>1711</v>
      </c>
      <c r="E647" t="s">
        <v>1062</v>
      </c>
      <c r="F647" s="8" t="s">
        <v>2707</v>
      </c>
      <c r="G647" t="str">
        <f t="shared" si="72"/>
        <v>(2941,</v>
      </c>
      <c r="H647" t="str">
        <f t="shared" si="73"/>
        <v>25,</v>
      </c>
      <c r="I647" t="str">
        <f t="shared" si="74"/>
        <v>'META',</v>
      </c>
      <c r="J647" t="str">
        <f t="shared" si="75"/>
        <v>274.61,</v>
      </c>
      <c r="K647" t="str">
        <f t="shared" si="76"/>
        <v>'SELL',</v>
      </c>
      <c r="L647" t="str">
        <f t="shared" si="77"/>
        <v>'2024-02-28 03:00:00'),</v>
      </c>
      <c r="M647" t="str">
        <f t="shared" si="78"/>
        <v>(2941,25,'META',274.61,'SELL','2024-02-28 03:00:00'),</v>
      </c>
    </row>
    <row r="648" spans="1:13" x14ac:dyDescent="0.2">
      <c r="A648">
        <v>4168</v>
      </c>
      <c r="B648">
        <v>114</v>
      </c>
      <c r="C648" t="s">
        <v>1069</v>
      </c>
      <c r="D648" t="s">
        <v>1712</v>
      </c>
      <c r="E648" t="s">
        <v>1062</v>
      </c>
      <c r="F648" s="8" t="s">
        <v>2708</v>
      </c>
      <c r="G648" t="str">
        <f t="shared" si="72"/>
        <v>(4168,</v>
      </c>
      <c r="H648" t="str">
        <f t="shared" si="73"/>
        <v>114,</v>
      </c>
      <c r="I648" t="str">
        <f t="shared" si="74"/>
        <v>'MSFT',</v>
      </c>
      <c r="J648" t="str">
        <f t="shared" si="75"/>
        <v>842.86,</v>
      </c>
      <c r="K648" t="str">
        <f t="shared" si="76"/>
        <v>'SELL',</v>
      </c>
      <c r="L648" t="str">
        <f t="shared" si="77"/>
        <v>'2024-05-05 08:40:00'),</v>
      </c>
      <c r="M648" t="str">
        <f t="shared" si="78"/>
        <v>(4168,114,'MSFT',842.86,'SELL','2024-05-05 08:40:00'),</v>
      </c>
    </row>
    <row r="649" spans="1:13" x14ac:dyDescent="0.2">
      <c r="A649">
        <v>9094</v>
      </c>
      <c r="B649">
        <v>194</v>
      </c>
      <c r="C649" t="s">
        <v>1060</v>
      </c>
      <c r="D649" t="s">
        <v>1713</v>
      </c>
      <c r="E649" t="s">
        <v>1068</v>
      </c>
      <c r="F649" s="8" t="s">
        <v>2709</v>
      </c>
      <c r="G649" t="str">
        <f t="shared" si="72"/>
        <v>(9094,</v>
      </c>
      <c r="H649" t="str">
        <f t="shared" si="73"/>
        <v>194,</v>
      </c>
      <c r="I649" t="str">
        <f t="shared" si="74"/>
        <v>'TSLA',</v>
      </c>
      <c r="J649" t="str">
        <f t="shared" si="75"/>
        <v>205.07,</v>
      </c>
      <c r="K649" t="str">
        <f t="shared" si="76"/>
        <v>'BUY',</v>
      </c>
      <c r="L649" t="str">
        <f t="shared" si="77"/>
        <v>'2024-01-03 15:47:00'),</v>
      </c>
      <c r="M649" t="str">
        <f t="shared" si="78"/>
        <v>(9094,194,'TSLA',205.07,'BUY','2024-01-03 15:47:00'),</v>
      </c>
    </row>
    <row r="650" spans="1:13" x14ac:dyDescent="0.2">
      <c r="A650">
        <v>5705</v>
      </c>
      <c r="B650">
        <v>659</v>
      </c>
      <c r="C650" t="s">
        <v>1066</v>
      </c>
      <c r="D650" t="s">
        <v>1714</v>
      </c>
      <c r="E650" t="s">
        <v>1062</v>
      </c>
      <c r="F650" s="8" t="s">
        <v>2710</v>
      </c>
      <c r="G650" t="str">
        <f t="shared" si="72"/>
        <v>(5705,</v>
      </c>
      <c r="H650" t="str">
        <f t="shared" si="73"/>
        <v>659,</v>
      </c>
      <c r="I650" t="str">
        <f t="shared" si="74"/>
        <v>'AMZN',</v>
      </c>
      <c r="J650" t="str">
        <f t="shared" si="75"/>
        <v>377.58,</v>
      </c>
      <c r="K650" t="str">
        <f t="shared" si="76"/>
        <v>'SELL',</v>
      </c>
      <c r="L650" t="str">
        <f t="shared" si="77"/>
        <v>'2024-05-08 23:07:00'),</v>
      </c>
      <c r="M650" t="str">
        <f t="shared" si="78"/>
        <v>(5705,659,'AMZN',377.58,'SELL','2024-05-08 23:07:00'),</v>
      </c>
    </row>
    <row r="651" spans="1:13" x14ac:dyDescent="0.2">
      <c r="A651">
        <v>7938</v>
      </c>
      <c r="B651">
        <v>460</v>
      </c>
      <c r="C651" t="s">
        <v>1060</v>
      </c>
      <c r="D651" t="s">
        <v>1715</v>
      </c>
      <c r="E651" t="s">
        <v>1068</v>
      </c>
      <c r="F651" s="8" t="s">
        <v>2711</v>
      </c>
      <c r="G651" t="str">
        <f t="shared" si="72"/>
        <v>(7938,</v>
      </c>
      <c r="H651" t="str">
        <f t="shared" si="73"/>
        <v>460,</v>
      </c>
      <c r="I651" t="str">
        <f t="shared" si="74"/>
        <v>'TSLA',</v>
      </c>
      <c r="J651" t="str">
        <f t="shared" si="75"/>
        <v>522.32,</v>
      </c>
      <c r="K651" t="str">
        <f t="shared" si="76"/>
        <v>'BUY',</v>
      </c>
      <c r="L651" t="str">
        <f t="shared" si="77"/>
        <v>'2024-01-24 06:20:00'),</v>
      </c>
      <c r="M651" t="str">
        <f t="shared" si="78"/>
        <v>(7938,460,'TSLA',522.32,'BUY','2024-01-24 06:20:00'),</v>
      </c>
    </row>
    <row r="652" spans="1:13" x14ac:dyDescent="0.2">
      <c r="A652">
        <v>2941</v>
      </c>
      <c r="B652">
        <v>917</v>
      </c>
      <c r="C652" t="s">
        <v>1069</v>
      </c>
      <c r="D652" t="s">
        <v>1716</v>
      </c>
      <c r="E652" t="s">
        <v>1068</v>
      </c>
      <c r="F652" s="8" t="s">
        <v>2712</v>
      </c>
      <c r="G652" t="str">
        <f t="shared" si="72"/>
        <v>(2941,</v>
      </c>
      <c r="H652" t="str">
        <f t="shared" si="73"/>
        <v>917,</v>
      </c>
      <c r="I652" t="str">
        <f t="shared" si="74"/>
        <v>'MSFT',</v>
      </c>
      <c r="J652" t="str">
        <f t="shared" si="75"/>
        <v>522.99,</v>
      </c>
      <c r="K652" t="str">
        <f t="shared" si="76"/>
        <v>'BUY',</v>
      </c>
      <c r="L652" t="str">
        <f t="shared" si="77"/>
        <v>'2024-01-18 04:25:00'),</v>
      </c>
      <c r="M652" t="str">
        <f t="shared" si="78"/>
        <v>(2941,917,'MSFT',522.99,'BUY','2024-01-18 04:25:00'),</v>
      </c>
    </row>
    <row r="653" spans="1:13" x14ac:dyDescent="0.2">
      <c r="A653">
        <v>7531</v>
      </c>
      <c r="B653">
        <v>904</v>
      </c>
      <c r="C653" t="s">
        <v>1066</v>
      </c>
      <c r="D653" t="s">
        <v>1717</v>
      </c>
      <c r="E653" t="s">
        <v>1068</v>
      </c>
      <c r="F653" s="8" t="s">
        <v>2713</v>
      </c>
      <c r="G653" t="str">
        <f t="shared" si="72"/>
        <v>(7531,</v>
      </c>
      <c r="H653" t="str">
        <f t="shared" si="73"/>
        <v>904,</v>
      </c>
      <c r="I653" t="str">
        <f t="shared" si="74"/>
        <v>'AMZN',</v>
      </c>
      <c r="J653" t="str">
        <f t="shared" si="75"/>
        <v>937.01,</v>
      </c>
      <c r="K653" t="str">
        <f t="shared" si="76"/>
        <v>'BUY',</v>
      </c>
      <c r="L653" t="str">
        <f t="shared" si="77"/>
        <v>'2024-01-29 00:27:00'),</v>
      </c>
      <c r="M653" t="str">
        <f t="shared" si="78"/>
        <v>(7531,904,'AMZN',937.01,'BUY','2024-01-29 00:27:00'),</v>
      </c>
    </row>
    <row r="654" spans="1:13" x14ac:dyDescent="0.2">
      <c r="A654">
        <v>1691</v>
      </c>
      <c r="B654">
        <v>247</v>
      </c>
      <c r="C654" t="s">
        <v>1069</v>
      </c>
      <c r="D654" t="s">
        <v>1718</v>
      </c>
      <c r="E654" t="s">
        <v>1068</v>
      </c>
      <c r="F654" s="8" t="s">
        <v>2714</v>
      </c>
      <c r="G654" t="str">
        <f t="shared" si="72"/>
        <v>(1691,</v>
      </c>
      <c r="H654" t="str">
        <f t="shared" si="73"/>
        <v>247,</v>
      </c>
      <c r="I654" t="str">
        <f t="shared" si="74"/>
        <v>'MSFT',</v>
      </c>
      <c r="J654" t="str">
        <f t="shared" si="75"/>
        <v>213.05,</v>
      </c>
      <c r="K654" t="str">
        <f t="shared" si="76"/>
        <v>'BUY',</v>
      </c>
      <c r="L654" t="str">
        <f t="shared" si="77"/>
        <v>'2024-04-21 11:22:00'),</v>
      </c>
      <c r="M654" t="str">
        <f t="shared" si="78"/>
        <v>(1691,247,'MSFT',213.05,'BUY','2024-04-21 11:22:00'),</v>
      </c>
    </row>
    <row r="655" spans="1:13" x14ac:dyDescent="0.2">
      <c r="A655">
        <v>4669</v>
      </c>
      <c r="B655">
        <v>847</v>
      </c>
      <c r="C655" t="s">
        <v>1063</v>
      </c>
      <c r="D655" t="s">
        <v>1719</v>
      </c>
      <c r="E655" t="s">
        <v>1068</v>
      </c>
      <c r="F655" s="8" t="s">
        <v>2715</v>
      </c>
      <c r="G655" t="str">
        <f t="shared" si="72"/>
        <v>(4669,</v>
      </c>
      <c r="H655" t="str">
        <f t="shared" si="73"/>
        <v>847,</v>
      </c>
      <c r="I655" t="str">
        <f t="shared" si="74"/>
        <v>'META',</v>
      </c>
      <c r="J655" t="str">
        <f t="shared" si="75"/>
        <v>915.14,</v>
      </c>
      <c r="K655" t="str">
        <f t="shared" si="76"/>
        <v>'BUY',</v>
      </c>
      <c r="L655" t="str">
        <f t="shared" si="77"/>
        <v>'2024-01-07 17:53:00'),</v>
      </c>
      <c r="M655" t="str">
        <f t="shared" si="78"/>
        <v>(4669,847,'META',915.14,'BUY','2024-01-07 17:53:00'),</v>
      </c>
    </row>
    <row r="656" spans="1:13" x14ac:dyDescent="0.2">
      <c r="A656">
        <v>7531</v>
      </c>
      <c r="B656">
        <v>307</v>
      </c>
      <c r="C656" t="s">
        <v>1069</v>
      </c>
      <c r="D656" t="s">
        <v>1720</v>
      </c>
      <c r="E656" t="s">
        <v>1062</v>
      </c>
      <c r="F656" s="8" t="s">
        <v>2716</v>
      </c>
      <c r="G656" t="str">
        <f t="shared" si="72"/>
        <v>(7531,</v>
      </c>
      <c r="H656" t="str">
        <f t="shared" si="73"/>
        <v>307,</v>
      </c>
      <c r="I656" t="str">
        <f t="shared" si="74"/>
        <v>'MSFT',</v>
      </c>
      <c r="J656" t="str">
        <f t="shared" si="75"/>
        <v>948.21,</v>
      </c>
      <c r="K656" t="str">
        <f t="shared" si="76"/>
        <v>'SELL',</v>
      </c>
      <c r="L656" t="str">
        <f t="shared" si="77"/>
        <v>'2024-04-29 00:37:00'),</v>
      </c>
      <c r="M656" t="str">
        <f t="shared" si="78"/>
        <v>(7531,307,'MSFT',948.21,'SELL','2024-04-29 00:37:00'),</v>
      </c>
    </row>
    <row r="657" spans="1:13" x14ac:dyDescent="0.2">
      <c r="A657">
        <v>7531</v>
      </c>
      <c r="B657">
        <v>894</v>
      </c>
      <c r="C657" t="s">
        <v>1063</v>
      </c>
      <c r="D657" t="s">
        <v>1721</v>
      </c>
      <c r="E657" t="s">
        <v>1068</v>
      </c>
      <c r="F657" s="8" t="s">
        <v>2717</v>
      </c>
      <c r="G657" t="str">
        <f t="shared" si="72"/>
        <v>(7531,</v>
      </c>
      <c r="H657" t="str">
        <f t="shared" si="73"/>
        <v>894,</v>
      </c>
      <c r="I657" t="str">
        <f t="shared" si="74"/>
        <v>'META',</v>
      </c>
      <c r="J657" t="str">
        <f t="shared" si="75"/>
        <v>901.81,</v>
      </c>
      <c r="K657" t="str">
        <f t="shared" si="76"/>
        <v>'BUY',</v>
      </c>
      <c r="L657" t="str">
        <f t="shared" si="77"/>
        <v>'2024-03-24 19:40:00'),</v>
      </c>
      <c r="M657" t="str">
        <f t="shared" si="78"/>
        <v>(7531,894,'META',901.81,'BUY','2024-03-24 19:40:00'),</v>
      </c>
    </row>
    <row r="658" spans="1:13" x14ac:dyDescent="0.2">
      <c r="A658">
        <v>7922</v>
      </c>
      <c r="B658">
        <v>23</v>
      </c>
      <c r="C658" t="s">
        <v>1066</v>
      </c>
      <c r="D658" t="s">
        <v>1722</v>
      </c>
      <c r="E658" t="s">
        <v>1068</v>
      </c>
      <c r="F658" s="8" t="s">
        <v>2718</v>
      </c>
      <c r="G658" t="str">
        <f t="shared" si="72"/>
        <v>(7922,</v>
      </c>
      <c r="H658" t="str">
        <f t="shared" si="73"/>
        <v>23,</v>
      </c>
      <c r="I658" t="str">
        <f t="shared" si="74"/>
        <v>'AMZN',</v>
      </c>
      <c r="J658" t="str">
        <f t="shared" si="75"/>
        <v>667.08,</v>
      </c>
      <c r="K658" t="str">
        <f t="shared" si="76"/>
        <v>'BUY',</v>
      </c>
      <c r="L658" t="str">
        <f t="shared" si="77"/>
        <v>'2024-02-08 10:50:00'),</v>
      </c>
      <c r="M658" t="str">
        <f t="shared" si="78"/>
        <v>(7922,23,'AMZN',667.08,'BUY','2024-02-08 10:50:00'),</v>
      </c>
    </row>
    <row r="659" spans="1:13" x14ac:dyDescent="0.2">
      <c r="A659">
        <v>5258</v>
      </c>
      <c r="B659">
        <v>416</v>
      </c>
      <c r="C659" t="s">
        <v>1060</v>
      </c>
      <c r="D659" t="s">
        <v>1723</v>
      </c>
      <c r="E659" t="s">
        <v>1062</v>
      </c>
      <c r="F659" s="8" t="s">
        <v>2719</v>
      </c>
      <c r="G659" t="str">
        <f t="shared" si="72"/>
        <v>(5258,</v>
      </c>
      <c r="H659" t="str">
        <f t="shared" si="73"/>
        <v>416,</v>
      </c>
      <c r="I659" t="str">
        <f t="shared" si="74"/>
        <v>'TSLA',</v>
      </c>
      <c r="J659" t="str">
        <f t="shared" si="75"/>
        <v>850.48,</v>
      </c>
      <c r="K659" t="str">
        <f t="shared" si="76"/>
        <v>'SELL',</v>
      </c>
      <c r="L659" t="str">
        <f t="shared" si="77"/>
        <v>'2024-01-03 15:42:00'),</v>
      </c>
      <c r="M659" t="str">
        <f t="shared" si="78"/>
        <v>(5258,416,'TSLA',850.48,'SELL','2024-01-03 15:42:00'),</v>
      </c>
    </row>
    <row r="660" spans="1:13" x14ac:dyDescent="0.2">
      <c r="A660">
        <v>5751</v>
      </c>
      <c r="B660">
        <v>428</v>
      </c>
      <c r="C660" t="s">
        <v>1060</v>
      </c>
      <c r="D660" t="s">
        <v>1724</v>
      </c>
      <c r="E660" t="s">
        <v>1062</v>
      </c>
      <c r="F660" s="8" t="s">
        <v>2720</v>
      </c>
      <c r="G660" t="str">
        <f t="shared" si="72"/>
        <v>(5751,</v>
      </c>
      <c r="H660" t="str">
        <f t="shared" si="73"/>
        <v>428,</v>
      </c>
      <c r="I660" t="str">
        <f t="shared" si="74"/>
        <v>'TSLA',</v>
      </c>
      <c r="J660" t="str">
        <f t="shared" si="75"/>
        <v>183.8,</v>
      </c>
      <c r="K660" t="str">
        <f t="shared" si="76"/>
        <v>'SELL',</v>
      </c>
      <c r="L660" t="str">
        <f t="shared" si="77"/>
        <v>'2024-04-18 16:14:00'),</v>
      </c>
      <c r="M660" t="str">
        <f t="shared" si="78"/>
        <v>(5751,428,'TSLA',183.8,'SELL','2024-04-18 16:14:00'),</v>
      </c>
    </row>
    <row r="661" spans="1:13" x14ac:dyDescent="0.2">
      <c r="A661">
        <v>5705</v>
      </c>
      <c r="B661">
        <v>829</v>
      </c>
      <c r="C661" t="s">
        <v>1060</v>
      </c>
      <c r="D661" t="s">
        <v>1725</v>
      </c>
      <c r="E661" t="s">
        <v>1068</v>
      </c>
      <c r="F661" s="8" t="s">
        <v>2721</v>
      </c>
      <c r="G661" t="str">
        <f t="shared" si="72"/>
        <v>(5705,</v>
      </c>
      <c r="H661" t="str">
        <f t="shared" si="73"/>
        <v>829,</v>
      </c>
      <c r="I661" t="str">
        <f t="shared" si="74"/>
        <v>'TSLA',</v>
      </c>
      <c r="J661" t="str">
        <f t="shared" si="75"/>
        <v>732.52,</v>
      </c>
      <c r="K661" t="str">
        <f t="shared" si="76"/>
        <v>'BUY',</v>
      </c>
      <c r="L661" t="str">
        <f t="shared" si="77"/>
        <v>'2024-03-17 01:44:00'),</v>
      </c>
      <c r="M661" t="str">
        <f t="shared" si="78"/>
        <v>(5705,829,'TSLA',732.52,'BUY','2024-03-17 01:44:00'),</v>
      </c>
    </row>
    <row r="662" spans="1:13" x14ac:dyDescent="0.2">
      <c r="A662">
        <v>5297</v>
      </c>
      <c r="B662">
        <v>709</v>
      </c>
      <c r="C662" t="s">
        <v>1069</v>
      </c>
      <c r="D662" t="s">
        <v>1726</v>
      </c>
      <c r="E662" t="s">
        <v>1068</v>
      </c>
      <c r="F662" s="8" t="s">
        <v>2722</v>
      </c>
      <c r="G662" t="str">
        <f t="shared" si="72"/>
        <v>(5297,</v>
      </c>
      <c r="H662" t="str">
        <f t="shared" si="73"/>
        <v>709,</v>
      </c>
      <c r="I662" t="str">
        <f t="shared" si="74"/>
        <v>'MSFT',</v>
      </c>
      <c r="J662" t="str">
        <f t="shared" si="75"/>
        <v>694.61,</v>
      </c>
      <c r="K662" t="str">
        <f t="shared" si="76"/>
        <v>'BUY',</v>
      </c>
      <c r="L662" t="str">
        <f t="shared" si="77"/>
        <v>'2024-05-06 01:21:00'),</v>
      </c>
      <c r="M662" t="str">
        <f t="shared" si="78"/>
        <v>(5297,709,'MSFT',694.61,'BUY','2024-05-06 01:21:00'),</v>
      </c>
    </row>
    <row r="663" spans="1:13" x14ac:dyDescent="0.2">
      <c r="A663">
        <v>7531</v>
      </c>
      <c r="B663">
        <v>568</v>
      </c>
      <c r="C663" t="s">
        <v>1060</v>
      </c>
      <c r="D663" t="s">
        <v>1727</v>
      </c>
      <c r="E663" t="s">
        <v>1062</v>
      </c>
      <c r="F663" s="8" t="s">
        <v>2723</v>
      </c>
      <c r="G663" t="str">
        <f t="shared" si="72"/>
        <v>(7531,</v>
      </c>
      <c r="H663" t="str">
        <f t="shared" si="73"/>
        <v>568,</v>
      </c>
      <c r="I663" t="str">
        <f t="shared" si="74"/>
        <v>'TSLA',</v>
      </c>
      <c r="J663" t="str">
        <f t="shared" si="75"/>
        <v>724.35,</v>
      </c>
      <c r="K663" t="str">
        <f t="shared" si="76"/>
        <v>'SELL',</v>
      </c>
      <c r="L663" t="str">
        <f t="shared" si="77"/>
        <v>'2024-05-21 14:24:00'),</v>
      </c>
      <c r="M663" t="str">
        <f t="shared" si="78"/>
        <v>(7531,568,'TSLA',724.35,'SELL','2024-05-21 14:24:00'),</v>
      </c>
    </row>
    <row r="664" spans="1:13" x14ac:dyDescent="0.2">
      <c r="A664">
        <v>5258</v>
      </c>
      <c r="B664">
        <v>243</v>
      </c>
      <c r="C664" t="s">
        <v>1060</v>
      </c>
      <c r="D664" t="s">
        <v>1728</v>
      </c>
      <c r="E664" t="s">
        <v>1068</v>
      </c>
      <c r="F664" s="8" t="s">
        <v>2724</v>
      </c>
      <c r="G664" t="str">
        <f t="shared" si="72"/>
        <v>(5258,</v>
      </c>
      <c r="H664" t="str">
        <f t="shared" si="73"/>
        <v>243,</v>
      </c>
      <c r="I664" t="str">
        <f t="shared" si="74"/>
        <v>'TSLA',</v>
      </c>
      <c r="J664" t="str">
        <f t="shared" si="75"/>
        <v>772.23,</v>
      </c>
      <c r="K664" t="str">
        <f t="shared" si="76"/>
        <v>'BUY',</v>
      </c>
      <c r="L664" t="str">
        <f t="shared" si="77"/>
        <v>'2024-03-07 11:06:00'),</v>
      </c>
      <c r="M664" t="str">
        <f t="shared" si="78"/>
        <v>(5258,243,'TSLA',772.23,'BUY','2024-03-07 11:06:00'),</v>
      </c>
    </row>
    <row r="665" spans="1:13" x14ac:dyDescent="0.2">
      <c r="A665">
        <v>4669</v>
      </c>
      <c r="B665">
        <v>726</v>
      </c>
      <c r="C665" t="s">
        <v>1063</v>
      </c>
      <c r="D665" t="s">
        <v>1729</v>
      </c>
      <c r="E665" t="s">
        <v>1062</v>
      </c>
      <c r="F665" s="8" t="s">
        <v>2725</v>
      </c>
      <c r="G665" t="str">
        <f t="shared" si="72"/>
        <v>(4669,</v>
      </c>
      <c r="H665" t="str">
        <f t="shared" si="73"/>
        <v>726,</v>
      </c>
      <c r="I665" t="str">
        <f t="shared" si="74"/>
        <v>'META',</v>
      </c>
      <c r="J665" t="str">
        <f t="shared" si="75"/>
        <v>669.43,</v>
      </c>
      <c r="K665" t="str">
        <f t="shared" si="76"/>
        <v>'SELL',</v>
      </c>
      <c r="L665" t="str">
        <f t="shared" si="77"/>
        <v>'2024-05-03 13:16:00'),</v>
      </c>
      <c r="M665" t="str">
        <f t="shared" si="78"/>
        <v>(4669,726,'META',669.43,'SELL','2024-05-03 13:16:00'),</v>
      </c>
    </row>
    <row r="666" spans="1:13" x14ac:dyDescent="0.2">
      <c r="A666">
        <v>5751</v>
      </c>
      <c r="B666">
        <v>415</v>
      </c>
      <c r="C666" t="s">
        <v>1063</v>
      </c>
      <c r="D666" t="s">
        <v>1730</v>
      </c>
      <c r="E666" t="s">
        <v>1062</v>
      </c>
      <c r="F666" s="8" t="s">
        <v>2726</v>
      </c>
      <c r="G666" t="str">
        <f t="shared" si="72"/>
        <v>(5751,</v>
      </c>
      <c r="H666" t="str">
        <f t="shared" si="73"/>
        <v>415,</v>
      </c>
      <c r="I666" t="str">
        <f t="shared" si="74"/>
        <v>'META',</v>
      </c>
      <c r="J666" t="str">
        <f t="shared" si="75"/>
        <v>142.17,</v>
      </c>
      <c r="K666" t="str">
        <f t="shared" si="76"/>
        <v>'SELL',</v>
      </c>
      <c r="L666" t="str">
        <f t="shared" si="77"/>
        <v>'2024-01-10 12:21:00'),</v>
      </c>
      <c r="M666" t="str">
        <f t="shared" si="78"/>
        <v>(5751,415,'META',142.17,'SELL','2024-01-10 12:21:00'),</v>
      </c>
    </row>
    <row r="667" spans="1:13" x14ac:dyDescent="0.2">
      <c r="A667">
        <v>4168</v>
      </c>
      <c r="B667">
        <v>542</v>
      </c>
      <c r="C667" t="s">
        <v>1063</v>
      </c>
      <c r="D667" t="s">
        <v>1731</v>
      </c>
      <c r="E667" t="s">
        <v>1062</v>
      </c>
      <c r="F667" s="8" t="s">
        <v>2727</v>
      </c>
      <c r="G667" t="str">
        <f t="shared" si="72"/>
        <v>(4168,</v>
      </c>
      <c r="H667" t="str">
        <f t="shared" si="73"/>
        <v>542,</v>
      </c>
      <c r="I667" t="str">
        <f t="shared" si="74"/>
        <v>'META',</v>
      </c>
      <c r="J667" t="str">
        <f t="shared" si="75"/>
        <v>351.53,</v>
      </c>
      <c r="K667" t="str">
        <f t="shared" si="76"/>
        <v>'SELL',</v>
      </c>
      <c r="L667" t="str">
        <f t="shared" si="77"/>
        <v>'2024-05-19 14:09:00'),</v>
      </c>
      <c r="M667" t="str">
        <f t="shared" si="78"/>
        <v>(4168,542,'META',351.53,'SELL','2024-05-19 14:09:00'),</v>
      </c>
    </row>
    <row r="668" spans="1:13" x14ac:dyDescent="0.2">
      <c r="A668">
        <v>9952</v>
      </c>
      <c r="B668">
        <v>614</v>
      </c>
      <c r="C668" t="s">
        <v>1066</v>
      </c>
      <c r="D668" t="s">
        <v>1732</v>
      </c>
      <c r="E668" t="s">
        <v>1062</v>
      </c>
      <c r="F668" s="8" t="s">
        <v>2728</v>
      </c>
      <c r="G668" t="str">
        <f t="shared" si="72"/>
        <v>(9952,</v>
      </c>
      <c r="H668" t="str">
        <f t="shared" si="73"/>
        <v>614,</v>
      </c>
      <c r="I668" t="str">
        <f t="shared" si="74"/>
        <v>'AMZN',</v>
      </c>
      <c r="J668" t="str">
        <f t="shared" si="75"/>
        <v>867.91,</v>
      </c>
      <c r="K668" t="str">
        <f t="shared" si="76"/>
        <v>'SELL',</v>
      </c>
      <c r="L668" t="str">
        <f t="shared" si="77"/>
        <v>'2024-05-05 12:11:00'),</v>
      </c>
      <c r="M668" t="str">
        <f t="shared" si="78"/>
        <v>(9952,614,'AMZN',867.91,'SELL','2024-05-05 12:11:00'),</v>
      </c>
    </row>
    <row r="669" spans="1:13" x14ac:dyDescent="0.2">
      <c r="A669">
        <v>9952</v>
      </c>
      <c r="B669">
        <v>817</v>
      </c>
      <c r="C669" t="s">
        <v>1069</v>
      </c>
      <c r="D669" t="s">
        <v>1733</v>
      </c>
      <c r="E669" t="s">
        <v>1068</v>
      </c>
      <c r="F669" s="8" t="s">
        <v>2729</v>
      </c>
      <c r="G669" t="str">
        <f t="shared" si="72"/>
        <v>(9952,</v>
      </c>
      <c r="H669" t="str">
        <f t="shared" si="73"/>
        <v>817,</v>
      </c>
      <c r="I669" t="str">
        <f t="shared" si="74"/>
        <v>'MSFT',</v>
      </c>
      <c r="J669" t="str">
        <f t="shared" si="75"/>
        <v>900.04,</v>
      </c>
      <c r="K669" t="str">
        <f t="shared" si="76"/>
        <v>'BUY',</v>
      </c>
      <c r="L669" t="str">
        <f t="shared" si="77"/>
        <v>'2024-05-14 07:57:00'),</v>
      </c>
      <c r="M669" t="str">
        <f t="shared" si="78"/>
        <v>(9952,817,'MSFT',900.04,'BUY','2024-05-14 07:57:00'),</v>
      </c>
    </row>
    <row r="670" spans="1:13" x14ac:dyDescent="0.2">
      <c r="A670">
        <v>5258</v>
      </c>
      <c r="B670">
        <v>490</v>
      </c>
      <c r="C670" t="s">
        <v>1063</v>
      </c>
      <c r="D670" t="s">
        <v>1734</v>
      </c>
      <c r="E670" t="s">
        <v>1062</v>
      </c>
      <c r="F670" s="8" t="s">
        <v>2730</v>
      </c>
      <c r="G670" t="str">
        <f t="shared" si="72"/>
        <v>(5258,</v>
      </c>
      <c r="H670" t="str">
        <f t="shared" si="73"/>
        <v>490,</v>
      </c>
      <c r="I670" t="str">
        <f t="shared" si="74"/>
        <v>'META',</v>
      </c>
      <c r="J670" t="str">
        <f t="shared" si="75"/>
        <v>288.5,</v>
      </c>
      <c r="K670" t="str">
        <f t="shared" si="76"/>
        <v>'SELL',</v>
      </c>
      <c r="L670" t="str">
        <f t="shared" si="77"/>
        <v>'2024-04-01 04:07:00'),</v>
      </c>
      <c r="M670" t="str">
        <f t="shared" si="78"/>
        <v>(5258,490,'META',288.5,'SELL','2024-04-01 04:07:00'),</v>
      </c>
    </row>
    <row r="671" spans="1:13" x14ac:dyDescent="0.2">
      <c r="A671">
        <v>6298</v>
      </c>
      <c r="B671">
        <v>896</v>
      </c>
      <c r="C671" t="s">
        <v>1060</v>
      </c>
      <c r="D671" t="s">
        <v>1735</v>
      </c>
      <c r="E671" t="s">
        <v>1062</v>
      </c>
      <c r="F671" s="8" t="s">
        <v>2731</v>
      </c>
      <c r="G671" t="str">
        <f t="shared" si="72"/>
        <v>(6298,</v>
      </c>
      <c r="H671" t="str">
        <f t="shared" si="73"/>
        <v>896,</v>
      </c>
      <c r="I671" t="str">
        <f t="shared" si="74"/>
        <v>'TSLA',</v>
      </c>
      <c r="J671" t="str">
        <f t="shared" si="75"/>
        <v>583.4,</v>
      </c>
      <c r="K671" t="str">
        <f t="shared" si="76"/>
        <v>'SELL',</v>
      </c>
      <c r="L671" t="str">
        <f t="shared" si="77"/>
        <v>'2024-02-03 00:30:00'),</v>
      </c>
      <c r="M671" t="str">
        <f t="shared" si="78"/>
        <v>(6298,896,'TSLA',583.4,'SELL','2024-02-03 00:30:00'),</v>
      </c>
    </row>
    <row r="672" spans="1:13" x14ac:dyDescent="0.2">
      <c r="A672">
        <v>7922</v>
      </c>
      <c r="B672">
        <v>379</v>
      </c>
      <c r="C672" t="s">
        <v>1063</v>
      </c>
      <c r="D672" t="s">
        <v>1736</v>
      </c>
      <c r="E672" t="s">
        <v>1068</v>
      </c>
      <c r="F672" s="8" t="s">
        <v>2732</v>
      </c>
      <c r="G672" t="str">
        <f t="shared" si="72"/>
        <v>(7922,</v>
      </c>
      <c r="H672" t="str">
        <f t="shared" si="73"/>
        <v>379,</v>
      </c>
      <c r="I672" t="str">
        <f t="shared" si="74"/>
        <v>'META',</v>
      </c>
      <c r="J672" t="str">
        <f t="shared" si="75"/>
        <v>596.03,</v>
      </c>
      <c r="K672" t="str">
        <f t="shared" si="76"/>
        <v>'BUY',</v>
      </c>
      <c r="L672" t="str">
        <f t="shared" si="77"/>
        <v>'2024-04-06 11:25:00'),</v>
      </c>
      <c r="M672" t="str">
        <f t="shared" si="78"/>
        <v>(7922,379,'META',596.03,'BUY','2024-04-06 11:25:00'),</v>
      </c>
    </row>
    <row r="673" spans="1:13" x14ac:dyDescent="0.2">
      <c r="A673">
        <v>9952</v>
      </c>
      <c r="B673">
        <v>101</v>
      </c>
      <c r="C673" t="s">
        <v>1063</v>
      </c>
      <c r="D673" t="s">
        <v>1737</v>
      </c>
      <c r="E673" t="s">
        <v>1062</v>
      </c>
      <c r="F673" s="8" t="s">
        <v>2733</v>
      </c>
      <c r="G673" t="str">
        <f t="shared" si="72"/>
        <v>(9952,</v>
      </c>
      <c r="H673" t="str">
        <f t="shared" si="73"/>
        <v>101,</v>
      </c>
      <c r="I673" t="str">
        <f t="shared" si="74"/>
        <v>'META',</v>
      </c>
      <c r="J673" t="str">
        <f t="shared" si="75"/>
        <v>299.21,</v>
      </c>
      <c r="K673" t="str">
        <f t="shared" si="76"/>
        <v>'SELL',</v>
      </c>
      <c r="L673" t="str">
        <f t="shared" si="77"/>
        <v>'2024-04-12 12:50:00'),</v>
      </c>
      <c r="M673" t="str">
        <f t="shared" si="78"/>
        <v>(9952,101,'META',299.21,'SELL','2024-04-12 12:50:00'),</v>
      </c>
    </row>
    <row r="674" spans="1:13" x14ac:dyDescent="0.2">
      <c r="A674">
        <v>5751</v>
      </c>
      <c r="B674">
        <v>377</v>
      </c>
      <c r="C674" t="s">
        <v>1060</v>
      </c>
      <c r="D674" t="s">
        <v>1738</v>
      </c>
      <c r="E674" t="s">
        <v>1068</v>
      </c>
      <c r="F674" s="8" t="s">
        <v>2734</v>
      </c>
      <c r="G674" t="str">
        <f t="shared" si="72"/>
        <v>(5751,</v>
      </c>
      <c r="H674" t="str">
        <f t="shared" si="73"/>
        <v>377,</v>
      </c>
      <c r="I674" t="str">
        <f t="shared" si="74"/>
        <v>'TSLA',</v>
      </c>
      <c r="J674" t="str">
        <f t="shared" si="75"/>
        <v>424.64,</v>
      </c>
      <c r="K674" t="str">
        <f t="shared" si="76"/>
        <v>'BUY',</v>
      </c>
      <c r="L674" t="str">
        <f t="shared" si="77"/>
        <v>'2024-01-14 17:22:00'),</v>
      </c>
      <c r="M674" t="str">
        <f t="shared" si="78"/>
        <v>(5751,377,'TSLA',424.64,'BUY','2024-01-14 17:22:00'),</v>
      </c>
    </row>
    <row r="675" spans="1:13" x14ac:dyDescent="0.2">
      <c r="A675">
        <v>9952</v>
      </c>
      <c r="B675">
        <v>350</v>
      </c>
      <c r="C675" t="s">
        <v>1066</v>
      </c>
      <c r="D675" t="s">
        <v>1739</v>
      </c>
      <c r="E675" t="s">
        <v>1062</v>
      </c>
      <c r="F675" s="8" t="s">
        <v>2735</v>
      </c>
      <c r="G675" t="str">
        <f t="shared" si="72"/>
        <v>(9952,</v>
      </c>
      <c r="H675" t="str">
        <f t="shared" si="73"/>
        <v>350,</v>
      </c>
      <c r="I675" t="str">
        <f t="shared" si="74"/>
        <v>'AMZN',</v>
      </c>
      <c r="J675" t="str">
        <f t="shared" si="75"/>
        <v>654.56,</v>
      </c>
      <c r="K675" t="str">
        <f t="shared" si="76"/>
        <v>'SELL',</v>
      </c>
      <c r="L675" t="str">
        <f t="shared" si="77"/>
        <v>'2024-01-10 02:44:00'),</v>
      </c>
      <c r="M675" t="str">
        <f t="shared" si="78"/>
        <v>(9952,350,'AMZN',654.56,'SELL','2024-01-10 02:44:00'),</v>
      </c>
    </row>
    <row r="676" spans="1:13" x14ac:dyDescent="0.2">
      <c r="A676">
        <v>7938</v>
      </c>
      <c r="B676">
        <v>91</v>
      </c>
      <c r="C676" t="s">
        <v>1060</v>
      </c>
      <c r="D676" t="s">
        <v>1740</v>
      </c>
      <c r="E676" t="s">
        <v>1068</v>
      </c>
      <c r="F676" s="8" t="s">
        <v>2736</v>
      </c>
      <c r="G676" t="str">
        <f t="shared" si="72"/>
        <v>(7938,</v>
      </c>
      <c r="H676" t="str">
        <f t="shared" si="73"/>
        <v>91,</v>
      </c>
      <c r="I676" t="str">
        <f t="shared" si="74"/>
        <v>'TSLA',</v>
      </c>
      <c r="J676" t="str">
        <f t="shared" si="75"/>
        <v>126.35,</v>
      </c>
      <c r="K676" t="str">
        <f t="shared" si="76"/>
        <v>'BUY',</v>
      </c>
      <c r="L676" t="str">
        <f t="shared" si="77"/>
        <v>'2024-05-07 23:15:00'),</v>
      </c>
      <c r="M676" t="str">
        <f t="shared" si="78"/>
        <v>(7938,91,'TSLA',126.35,'BUY','2024-05-07 23:15:00'),</v>
      </c>
    </row>
    <row r="677" spans="1:13" x14ac:dyDescent="0.2">
      <c r="A677">
        <v>5705</v>
      </c>
      <c r="B677">
        <v>453</v>
      </c>
      <c r="C677" t="s">
        <v>1066</v>
      </c>
      <c r="D677" t="s">
        <v>1741</v>
      </c>
      <c r="E677" t="s">
        <v>1068</v>
      </c>
      <c r="F677" s="8" t="s">
        <v>2737</v>
      </c>
      <c r="G677" t="str">
        <f t="shared" si="72"/>
        <v>(5705,</v>
      </c>
      <c r="H677" t="str">
        <f t="shared" si="73"/>
        <v>453,</v>
      </c>
      <c r="I677" t="str">
        <f t="shared" si="74"/>
        <v>'AMZN',</v>
      </c>
      <c r="J677" t="str">
        <f t="shared" si="75"/>
        <v>623.28,</v>
      </c>
      <c r="K677" t="str">
        <f t="shared" si="76"/>
        <v>'BUY',</v>
      </c>
      <c r="L677" t="str">
        <f t="shared" si="77"/>
        <v>'2024-05-05 13:54:00'),</v>
      </c>
      <c r="M677" t="str">
        <f t="shared" si="78"/>
        <v>(5705,453,'AMZN',623.28,'BUY','2024-05-05 13:54:00'),</v>
      </c>
    </row>
    <row r="678" spans="1:13" x14ac:dyDescent="0.2">
      <c r="A678">
        <v>5297</v>
      </c>
      <c r="B678">
        <v>161</v>
      </c>
      <c r="C678" t="s">
        <v>1060</v>
      </c>
      <c r="D678" t="s">
        <v>1742</v>
      </c>
      <c r="E678" t="s">
        <v>1068</v>
      </c>
      <c r="F678" s="8" t="s">
        <v>2738</v>
      </c>
      <c r="G678" t="str">
        <f t="shared" si="72"/>
        <v>(5297,</v>
      </c>
      <c r="H678" t="str">
        <f t="shared" si="73"/>
        <v>161,</v>
      </c>
      <c r="I678" t="str">
        <f t="shared" si="74"/>
        <v>'TSLA',</v>
      </c>
      <c r="J678" t="str">
        <f t="shared" si="75"/>
        <v>486.64,</v>
      </c>
      <c r="K678" t="str">
        <f t="shared" si="76"/>
        <v>'BUY',</v>
      </c>
      <c r="L678" t="str">
        <f t="shared" si="77"/>
        <v>'2024-03-01 16:24:00'),</v>
      </c>
      <c r="M678" t="str">
        <f t="shared" si="78"/>
        <v>(5297,161,'TSLA',486.64,'BUY','2024-03-01 16:24:00'),</v>
      </c>
    </row>
    <row r="679" spans="1:13" x14ac:dyDescent="0.2">
      <c r="A679">
        <v>6298</v>
      </c>
      <c r="B679">
        <v>692</v>
      </c>
      <c r="C679" t="s">
        <v>1066</v>
      </c>
      <c r="D679" t="s">
        <v>1743</v>
      </c>
      <c r="E679" t="s">
        <v>1068</v>
      </c>
      <c r="F679" s="8" t="s">
        <v>2739</v>
      </c>
      <c r="G679" t="str">
        <f t="shared" si="72"/>
        <v>(6298,</v>
      </c>
      <c r="H679" t="str">
        <f t="shared" si="73"/>
        <v>692,</v>
      </c>
      <c r="I679" t="str">
        <f t="shared" si="74"/>
        <v>'AMZN',</v>
      </c>
      <c r="J679" t="str">
        <f t="shared" si="75"/>
        <v>157.63,</v>
      </c>
      <c r="K679" t="str">
        <f t="shared" si="76"/>
        <v>'BUY',</v>
      </c>
      <c r="L679" t="str">
        <f t="shared" si="77"/>
        <v>'2024-03-25 11:06:00'),</v>
      </c>
      <c r="M679" t="str">
        <f t="shared" si="78"/>
        <v>(6298,692,'AMZN',157.63,'BUY','2024-03-25 11:06:00'),</v>
      </c>
    </row>
    <row r="680" spans="1:13" x14ac:dyDescent="0.2">
      <c r="A680">
        <v>4669</v>
      </c>
      <c r="B680">
        <v>989</v>
      </c>
      <c r="C680" t="s">
        <v>1069</v>
      </c>
      <c r="D680" t="s">
        <v>1744</v>
      </c>
      <c r="E680" t="s">
        <v>1068</v>
      </c>
      <c r="F680" s="8" t="s">
        <v>2740</v>
      </c>
      <c r="G680" t="str">
        <f t="shared" si="72"/>
        <v>(4669,</v>
      </c>
      <c r="H680" t="str">
        <f t="shared" si="73"/>
        <v>989,</v>
      </c>
      <c r="I680" t="str">
        <f t="shared" si="74"/>
        <v>'MSFT',</v>
      </c>
      <c r="J680" t="str">
        <f t="shared" si="75"/>
        <v>733.45,</v>
      </c>
      <c r="K680" t="str">
        <f t="shared" si="76"/>
        <v>'BUY',</v>
      </c>
      <c r="L680" t="str">
        <f t="shared" si="77"/>
        <v>'2024-01-04 09:57:00'),</v>
      </c>
      <c r="M680" t="str">
        <f t="shared" si="78"/>
        <v>(4669,989,'MSFT',733.45,'BUY','2024-01-04 09:57:00'),</v>
      </c>
    </row>
    <row r="681" spans="1:13" x14ac:dyDescent="0.2">
      <c r="A681">
        <v>2941</v>
      </c>
      <c r="B681">
        <v>176</v>
      </c>
      <c r="C681" t="s">
        <v>1066</v>
      </c>
      <c r="D681" t="s">
        <v>1745</v>
      </c>
      <c r="E681" t="s">
        <v>1062</v>
      </c>
      <c r="F681" s="8" t="s">
        <v>2741</v>
      </c>
      <c r="G681" t="str">
        <f t="shared" si="72"/>
        <v>(2941,</v>
      </c>
      <c r="H681" t="str">
        <f t="shared" si="73"/>
        <v>176,</v>
      </c>
      <c r="I681" t="str">
        <f t="shared" si="74"/>
        <v>'AMZN',</v>
      </c>
      <c r="J681" t="str">
        <f t="shared" si="75"/>
        <v>805.49,</v>
      </c>
      <c r="K681" t="str">
        <f t="shared" si="76"/>
        <v>'SELL',</v>
      </c>
      <c r="L681" t="str">
        <f t="shared" si="77"/>
        <v>'2024-05-01 16:35:00'),</v>
      </c>
      <c r="M681" t="str">
        <f t="shared" si="78"/>
        <v>(2941,176,'AMZN',805.49,'SELL','2024-05-01 16:35:00'),</v>
      </c>
    </row>
    <row r="682" spans="1:13" x14ac:dyDescent="0.2">
      <c r="A682">
        <v>5297</v>
      </c>
      <c r="B682">
        <v>566</v>
      </c>
      <c r="C682" t="s">
        <v>1069</v>
      </c>
      <c r="D682" t="s">
        <v>1746</v>
      </c>
      <c r="E682" t="s">
        <v>1062</v>
      </c>
      <c r="F682" s="8" t="s">
        <v>2742</v>
      </c>
      <c r="G682" t="str">
        <f t="shared" si="72"/>
        <v>(5297,</v>
      </c>
      <c r="H682" t="str">
        <f t="shared" si="73"/>
        <v>566,</v>
      </c>
      <c r="I682" t="str">
        <f t="shared" si="74"/>
        <v>'MSFT',</v>
      </c>
      <c r="J682" t="str">
        <f t="shared" si="75"/>
        <v>554.92,</v>
      </c>
      <c r="K682" t="str">
        <f t="shared" si="76"/>
        <v>'SELL',</v>
      </c>
      <c r="L682" t="str">
        <f t="shared" si="77"/>
        <v>'2024-02-27 01:12:00'),</v>
      </c>
      <c r="M682" t="str">
        <f t="shared" si="78"/>
        <v>(5297,566,'MSFT',554.92,'SELL','2024-02-27 01:12:00'),</v>
      </c>
    </row>
    <row r="683" spans="1:13" x14ac:dyDescent="0.2">
      <c r="A683">
        <v>9094</v>
      </c>
      <c r="B683">
        <v>782</v>
      </c>
      <c r="C683" t="s">
        <v>1063</v>
      </c>
      <c r="D683" t="s">
        <v>1747</v>
      </c>
      <c r="E683" t="s">
        <v>1062</v>
      </c>
      <c r="F683" s="8" t="s">
        <v>2743</v>
      </c>
      <c r="G683" t="str">
        <f t="shared" si="72"/>
        <v>(9094,</v>
      </c>
      <c r="H683" t="str">
        <f t="shared" si="73"/>
        <v>782,</v>
      </c>
      <c r="I683" t="str">
        <f t="shared" si="74"/>
        <v>'META',</v>
      </c>
      <c r="J683" t="str">
        <f t="shared" si="75"/>
        <v>720.72,</v>
      </c>
      <c r="K683" t="str">
        <f t="shared" si="76"/>
        <v>'SELL',</v>
      </c>
      <c r="L683" t="str">
        <f t="shared" si="77"/>
        <v>'2024-05-11 17:05:00'),</v>
      </c>
      <c r="M683" t="str">
        <f t="shared" si="78"/>
        <v>(9094,782,'META',720.72,'SELL','2024-05-11 17:05:00'),</v>
      </c>
    </row>
    <row r="684" spans="1:13" x14ac:dyDescent="0.2">
      <c r="A684">
        <v>7938</v>
      </c>
      <c r="B684">
        <v>193</v>
      </c>
      <c r="C684" t="s">
        <v>1063</v>
      </c>
      <c r="D684" t="s">
        <v>1748</v>
      </c>
      <c r="E684" t="s">
        <v>1068</v>
      </c>
      <c r="F684" s="8" t="s">
        <v>2744</v>
      </c>
      <c r="G684" t="str">
        <f t="shared" si="72"/>
        <v>(7938,</v>
      </c>
      <c r="H684" t="str">
        <f t="shared" si="73"/>
        <v>193,</v>
      </c>
      <c r="I684" t="str">
        <f t="shared" si="74"/>
        <v>'META',</v>
      </c>
      <c r="J684" t="str">
        <f t="shared" si="75"/>
        <v>157.57,</v>
      </c>
      <c r="K684" t="str">
        <f t="shared" si="76"/>
        <v>'BUY',</v>
      </c>
      <c r="L684" t="str">
        <f t="shared" si="77"/>
        <v>'2024-01-21 07:36:00'),</v>
      </c>
      <c r="M684" t="str">
        <f t="shared" si="78"/>
        <v>(7938,193,'META',157.57,'BUY','2024-01-21 07:36:00'),</v>
      </c>
    </row>
    <row r="685" spans="1:13" x14ac:dyDescent="0.2">
      <c r="A685">
        <v>7938</v>
      </c>
      <c r="B685">
        <v>312</v>
      </c>
      <c r="C685" t="s">
        <v>1060</v>
      </c>
      <c r="D685" t="s">
        <v>1749</v>
      </c>
      <c r="E685" t="s">
        <v>1062</v>
      </c>
      <c r="F685" s="8" t="s">
        <v>2745</v>
      </c>
      <c r="G685" t="str">
        <f t="shared" si="72"/>
        <v>(7938,</v>
      </c>
      <c r="H685" t="str">
        <f t="shared" si="73"/>
        <v>312,</v>
      </c>
      <c r="I685" t="str">
        <f t="shared" si="74"/>
        <v>'TSLA',</v>
      </c>
      <c r="J685" t="str">
        <f t="shared" si="75"/>
        <v>288.54,</v>
      </c>
      <c r="K685" t="str">
        <f t="shared" si="76"/>
        <v>'SELL',</v>
      </c>
      <c r="L685" t="str">
        <f t="shared" si="77"/>
        <v>'2024-04-08 01:47:00'),</v>
      </c>
      <c r="M685" t="str">
        <f t="shared" si="78"/>
        <v>(7938,312,'TSLA',288.54,'SELL','2024-04-08 01:47:00'),</v>
      </c>
    </row>
    <row r="686" spans="1:13" x14ac:dyDescent="0.2">
      <c r="A686">
        <v>1691</v>
      </c>
      <c r="B686">
        <v>248</v>
      </c>
      <c r="C686" t="s">
        <v>1069</v>
      </c>
      <c r="D686" t="s">
        <v>1750</v>
      </c>
      <c r="E686" t="s">
        <v>1062</v>
      </c>
      <c r="F686" s="8" t="s">
        <v>2746</v>
      </c>
      <c r="G686" t="str">
        <f t="shared" si="72"/>
        <v>(1691,</v>
      </c>
      <c r="H686" t="str">
        <f t="shared" si="73"/>
        <v>248,</v>
      </c>
      <c r="I686" t="str">
        <f t="shared" si="74"/>
        <v>'MSFT',</v>
      </c>
      <c r="J686" t="str">
        <f t="shared" si="75"/>
        <v>481.86,</v>
      </c>
      <c r="K686" t="str">
        <f t="shared" si="76"/>
        <v>'SELL',</v>
      </c>
      <c r="L686" t="str">
        <f t="shared" si="77"/>
        <v>'2024-02-07 23:39:00'),</v>
      </c>
      <c r="M686" t="str">
        <f t="shared" si="78"/>
        <v>(1691,248,'MSFT',481.86,'SELL','2024-02-07 23:39:00'),</v>
      </c>
    </row>
    <row r="687" spans="1:13" x14ac:dyDescent="0.2">
      <c r="A687">
        <v>1691</v>
      </c>
      <c r="B687">
        <v>770</v>
      </c>
      <c r="C687" t="s">
        <v>1060</v>
      </c>
      <c r="D687" t="s">
        <v>1751</v>
      </c>
      <c r="E687" t="s">
        <v>1062</v>
      </c>
      <c r="F687" s="8" t="s">
        <v>2747</v>
      </c>
      <c r="G687" t="str">
        <f t="shared" si="72"/>
        <v>(1691,</v>
      </c>
      <c r="H687" t="str">
        <f t="shared" si="73"/>
        <v>770,</v>
      </c>
      <c r="I687" t="str">
        <f t="shared" si="74"/>
        <v>'TSLA',</v>
      </c>
      <c r="J687" t="str">
        <f t="shared" si="75"/>
        <v>970.64,</v>
      </c>
      <c r="K687" t="str">
        <f t="shared" si="76"/>
        <v>'SELL',</v>
      </c>
      <c r="L687" t="str">
        <f t="shared" si="77"/>
        <v>'2024-01-21 13:24:00'),</v>
      </c>
      <c r="M687" t="str">
        <f t="shared" si="78"/>
        <v>(1691,770,'TSLA',970.64,'SELL','2024-01-21 13:24:00'),</v>
      </c>
    </row>
    <row r="688" spans="1:13" x14ac:dyDescent="0.2">
      <c r="A688">
        <v>9094</v>
      </c>
      <c r="B688">
        <v>53</v>
      </c>
      <c r="C688" t="s">
        <v>1063</v>
      </c>
      <c r="D688" t="s">
        <v>1752</v>
      </c>
      <c r="E688" t="s">
        <v>1062</v>
      </c>
      <c r="F688" s="8" t="s">
        <v>2748</v>
      </c>
      <c r="G688" t="str">
        <f t="shared" si="72"/>
        <v>(9094,</v>
      </c>
      <c r="H688" t="str">
        <f t="shared" si="73"/>
        <v>53,</v>
      </c>
      <c r="I688" t="str">
        <f t="shared" si="74"/>
        <v>'META',</v>
      </c>
      <c r="J688" t="str">
        <f t="shared" si="75"/>
        <v>259.71,</v>
      </c>
      <c r="K688" t="str">
        <f t="shared" si="76"/>
        <v>'SELL',</v>
      </c>
      <c r="L688" t="str">
        <f t="shared" si="77"/>
        <v>'2024-04-25 22:21:00'),</v>
      </c>
      <c r="M688" t="str">
        <f t="shared" si="78"/>
        <v>(9094,53,'META',259.71,'SELL','2024-04-25 22:21:00'),</v>
      </c>
    </row>
    <row r="689" spans="1:13" x14ac:dyDescent="0.2">
      <c r="A689">
        <v>9094</v>
      </c>
      <c r="B689">
        <v>760</v>
      </c>
      <c r="C689" t="s">
        <v>1066</v>
      </c>
      <c r="D689" t="s">
        <v>1753</v>
      </c>
      <c r="E689" t="s">
        <v>1062</v>
      </c>
      <c r="F689" s="8" t="s">
        <v>2749</v>
      </c>
      <c r="G689" t="str">
        <f t="shared" si="72"/>
        <v>(9094,</v>
      </c>
      <c r="H689" t="str">
        <f t="shared" si="73"/>
        <v>760,</v>
      </c>
      <c r="I689" t="str">
        <f t="shared" si="74"/>
        <v>'AMZN',</v>
      </c>
      <c r="J689" t="str">
        <f t="shared" si="75"/>
        <v>457.63,</v>
      </c>
      <c r="K689" t="str">
        <f t="shared" si="76"/>
        <v>'SELL',</v>
      </c>
      <c r="L689" t="str">
        <f t="shared" si="77"/>
        <v>'2024-04-05 03:29:00'),</v>
      </c>
      <c r="M689" t="str">
        <f t="shared" si="78"/>
        <v>(9094,760,'AMZN',457.63,'SELL','2024-04-05 03:29:00'),</v>
      </c>
    </row>
    <row r="690" spans="1:13" x14ac:dyDescent="0.2">
      <c r="A690">
        <v>5258</v>
      </c>
      <c r="B690">
        <v>557</v>
      </c>
      <c r="C690" t="s">
        <v>1060</v>
      </c>
      <c r="D690" t="s">
        <v>1754</v>
      </c>
      <c r="E690" t="s">
        <v>1068</v>
      </c>
      <c r="F690" s="8" t="s">
        <v>2750</v>
      </c>
      <c r="G690" t="str">
        <f t="shared" si="72"/>
        <v>(5258,</v>
      </c>
      <c r="H690" t="str">
        <f t="shared" si="73"/>
        <v>557,</v>
      </c>
      <c r="I690" t="str">
        <f t="shared" si="74"/>
        <v>'TSLA',</v>
      </c>
      <c r="J690" t="str">
        <f t="shared" si="75"/>
        <v>641.46,</v>
      </c>
      <c r="K690" t="str">
        <f t="shared" si="76"/>
        <v>'BUY',</v>
      </c>
      <c r="L690" t="str">
        <f t="shared" si="77"/>
        <v>'2024-01-22 04:02:00'),</v>
      </c>
      <c r="M690" t="str">
        <f t="shared" si="78"/>
        <v>(5258,557,'TSLA',641.46,'BUY','2024-01-22 04:02:00'),</v>
      </c>
    </row>
    <row r="691" spans="1:13" x14ac:dyDescent="0.2">
      <c r="A691">
        <v>9952</v>
      </c>
      <c r="B691">
        <v>16</v>
      </c>
      <c r="C691" t="s">
        <v>1069</v>
      </c>
      <c r="D691" t="s">
        <v>1755</v>
      </c>
      <c r="E691" t="s">
        <v>1068</v>
      </c>
      <c r="F691" s="8" t="s">
        <v>2751</v>
      </c>
      <c r="G691" t="str">
        <f t="shared" si="72"/>
        <v>(9952,</v>
      </c>
      <c r="H691" t="str">
        <f t="shared" si="73"/>
        <v>16,</v>
      </c>
      <c r="I691" t="str">
        <f t="shared" si="74"/>
        <v>'MSFT',</v>
      </c>
      <c r="J691" t="str">
        <f t="shared" si="75"/>
        <v>960.04,</v>
      </c>
      <c r="K691" t="str">
        <f t="shared" si="76"/>
        <v>'BUY',</v>
      </c>
      <c r="L691" t="str">
        <f t="shared" si="77"/>
        <v>'2024-05-01 22:21:00'),</v>
      </c>
      <c r="M691" t="str">
        <f t="shared" si="78"/>
        <v>(9952,16,'MSFT',960.04,'BUY','2024-05-01 22:21:00'),</v>
      </c>
    </row>
    <row r="692" spans="1:13" x14ac:dyDescent="0.2">
      <c r="A692">
        <v>4710</v>
      </c>
      <c r="B692">
        <v>383</v>
      </c>
      <c r="C692" t="s">
        <v>1066</v>
      </c>
      <c r="D692" t="s">
        <v>1756</v>
      </c>
      <c r="E692" t="s">
        <v>1068</v>
      </c>
      <c r="F692" s="8" t="s">
        <v>2752</v>
      </c>
      <c r="G692" t="str">
        <f t="shared" si="72"/>
        <v>(4710,</v>
      </c>
      <c r="H692" t="str">
        <f t="shared" si="73"/>
        <v>383,</v>
      </c>
      <c r="I692" t="str">
        <f t="shared" si="74"/>
        <v>'AMZN',</v>
      </c>
      <c r="J692" t="str">
        <f t="shared" si="75"/>
        <v>562.48,</v>
      </c>
      <c r="K692" t="str">
        <f t="shared" si="76"/>
        <v>'BUY',</v>
      </c>
      <c r="L692" t="str">
        <f t="shared" si="77"/>
        <v>'2024-03-15 20:19:00'),</v>
      </c>
      <c r="M692" t="str">
        <f t="shared" si="78"/>
        <v>(4710,383,'AMZN',562.48,'BUY','2024-03-15 20:19:00'),</v>
      </c>
    </row>
    <row r="693" spans="1:13" x14ac:dyDescent="0.2">
      <c r="A693">
        <v>5258</v>
      </c>
      <c r="B693">
        <v>1</v>
      </c>
      <c r="C693" t="s">
        <v>1069</v>
      </c>
      <c r="D693" t="s">
        <v>1757</v>
      </c>
      <c r="E693" t="s">
        <v>1062</v>
      </c>
      <c r="F693" s="8" t="s">
        <v>2753</v>
      </c>
      <c r="G693" t="str">
        <f t="shared" si="72"/>
        <v>(5258,</v>
      </c>
      <c r="H693" t="str">
        <f t="shared" si="73"/>
        <v>1,</v>
      </c>
      <c r="I693" t="str">
        <f t="shared" si="74"/>
        <v>'MSFT',</v>
      </c>
      <c r="J693" t="str">
        <f t="shared" si="75"/>
        <v>800.78,</v>
      </c>
      <c r="K693" t="str">
        <f t="shared" si="76"/>
        <v>'SELL',</v>
      </c>
      <c r="L693" t="str">
        <f t="shared" si="77"/>
        <v>'2024-05-15 02:26:00'),</v>
      </c>
      <c r="M693" t="str">
        <f t="shared" si="78"/>
        <v>(5258,1,'MSFT',800.78,'SELL','2024-05-15 02:26:00'),</v>
      </c>
    </row>
    <row r="694" spans="1:13" x14ac:dyDescent="0.2">
      <c r="A694">
        <v>4168</v>
      </c>
      <c r="B694">
        <v>714</v>
      </c>
      <c r="C694" t="s">
        <v>1066</v>
      </c>
      <c r="D694" t="s">
        <v>1758</v>
      </c>
      <c r="E694" t="s">
        <v>1062</v>
      </c>
      <c r="F694" s="8" t="s">
        <v>2754</v>
      </c>
      <c r="G694" t="str">
        <f t="shared" si="72"/>
        <v>(4168,</v>
      </c>
      <c r="H694" t="str">
        <f t="shared" si="73"/>
        <v>714,</v>
      </c>
      <c r="I694" t="str">
        <f t="shared" si="74"/>
        <v>'AMZN',</v>
      </c>
      <c r="J694" t="str">
        <f t="shared" si="75"/>
        <v>942.91,</v>
      </c>
      <c r="K694" t="str">
        <f t="shared" si="76"/>
        <v>'SELL',</v>
      </c>
      <c r="L694" t="str">
        <f t="shared" si="77"/>
        <v>'2024-02-26 23:02:00'),</v>
      </c>
      <c r="M694" t="str">
        <f t="shared" si="78"/>
        <v>(4168,714,'AMZN',942.91,'SELL','2024-02-26 23:02:00'),</v>
      </c>
    </row>
    <row r="695" spans="1:13" x14ac:dyDescent="0.2">
      <c r="A695">
        <v>7922</v>
      </c>
      <c r="B695">
        <v>954</v>
      </c>
      <c r="C695" t="s">
        <v>1069</v>
      </c>
      <c r="D695" t="s">
        <v>1759</v>
      </c>
      <c r="E695" t="s">
        <v>1062</v>
      </c>
      <c r="F695" s="8" t="s">
        <v>2755</v>
      </c>
      <c r="G695" t="str">
        <f t="shared" si="72"/>
        <v>(7922,</v>
      </c>
      <c r="H695" t="str">
        <f t="shared" si="73"/>
        <v>954,</v>
      </c>
      <c r="I695" t="str">
        <f t="shared" si="74"/>
        <v>'MSFT',</v>
      </c>
      <c r="J695" t="str">
        <f t="shared" si="75"/>
        <v>352.66,</v>
      </c>
      <c r="K695" t="str">
        <f t="shared" si="76"/>
        <v>'SELL',</v>
      </c>
      <c r="L695" t="str">
        <f t="shared" si="77"/>
        <v>'2024-01-09 08:13:00'),</v>
      </c>
      <c r="M695" t="str">
        <f t="shared" si="78"/>
        <v>(7922,954,'MSFT',352.66,'SELL','2024-01-09 08:13:00'),</v>
      </c>
    </row>
    <row r="696" spans="1:13" x14ac:dyDescent="0.2">
      <c r="A696">
        <v>7922</v>
      </c>
      <c r="B696">
        <v>269</v>
      </c>
      <c r="C696" t="s">
        <v>1066</v>
      </c>
      <c r="D696" t="s">
        <v>1760</v>
      </c>
      <c r="E696" t="s">
        <v>1068</v>
      </c>
      <c r="F696" s="8" t="s">
        <v>2756</v>
      </c>
      <c r="G696" t="str">
        <f t="shared" si="72"/>
        <v>(7922,</v>
      </c>
      <c r="H696" t="str">
        <f t="shared" si="73"/>
        <v>269,</v>
      </c>
      <c r="I696" t="str">
        <f t="shared" si="74"/>
        <v>'AMZN',</v>
      </c>
      <c r="J696" t="str">
        <f t="shared" si="75"/>
        <v>586.54,</v>
      </c>
      <c r="K696" t="str">
        <f t="shared" si="76"/>
        <v>'BUY',</v>
      </c>
      <c r="L696" t="str">
        <f t="shared" si="77"/>
        <v>'2024-01-21 23:12:00'),</v>
      </c>
      <c r="M696" t="str">
        <f t="shared" si="78"/>
        <v>(7922,269,'AMZN',586.54,'BUY','2024-01-21 23:12:00'),</v>
      </c>
    </row>
    <row r="697" spans="1:13" x14ac:dyDescent="0.2">
      <c r="A697">
        <v>5751</v>
      </c>
      <c r="B697">
        <v>143</v>
      </c>
      <c r="C697" t="s">
        <v>1066</v>
      </c>
      <c r="D697" t="s">
        <v>1761</v>
      </c>
      <c r="E697" t="s">
        <v>1062</v>
      </c>
      <c r="F697" s="8" t="s">
        <v>2757</v>
      </c>
      <c r="G697" t="str">
        <f t="shared" si="72"/>
        <v>(5751,</v>
      </c>
      <c r="H697" t="str">
        <f t="shared" si="73"/>
        <v>143,</v>
      </c>
      <c r="I697" t="str">
        <f t="shared" si="74"/>
        <v>'AMZN',</v>
      </c>
      <c r="J697" t="str">
        <f t="shared" si="75"/>
        <v>884.84,</v>
      </c>
      <c r="K697" t="str">
        <f t="shared" si="76"/>
        <v>'SELL',</v>
      </c>
      <c r="L697" t="str">
        <f t="shared" si="77"/>
        <v>'2024-03-04 10:10:00'),</v>
      </c>
      <c r="M697" t="str">
        <f t="shared" si="78"/>
        <v>(5751,143,'AMZN',884.84,'SELL','2024-03-04 10:10:00'),</v>
      </c>
    </row>
    <row r="698" spans="1:13" x14ac:dyDescent="0.2">
      <c r="A698">
        <v>4669</v>
      </c>
      <c r="B698">
        <v>419</v>
      </c>
      <c r="C698" t="s">
        <v>1060</v>
      </c>
      <c r="D698" t="s">
        <v>1762</v>
      </c>
      <c r="E698" t="s">
        <v>1068</v>
      </c>
      <c r="F698" s="8" t="s">
        <v>2758</v>
      </c>
      <c r="G698" t="str">
        <f t="shared" si="72"/>
        <v>(4669,</v>
      </c>
      <c r="H698" t="str">
        <f t="shared" si="73"/>
        <v>419,</v>
      </c>
      <c r="I698" t="str">
        <f t="shared" si="74"/>
        <v>'TSLA',</v>
      </c>
      <c r="J698" t="str">
        <f t="shared" si="75"/>
        <v>953.25,</v>
      </c>
      <c r="K698" t="str">
        <f t="shared" si="76"/>
        <v>'BUY',</v>
      </c>
      <c r="L698" t="str">
        <f t="shared" si="77"/>
        <v>'2024-03-12 20:43:00'),</v>
      </c>
      <c r="M698" t="str">
        <f t="shared" si="78"/>
        <v>(4669,419,'TSLA',953.25,'BUY','2024-03-12 20:43:00'),</v>
      </c>
    </row>
    <row r="699" spans="1:13" x14ac:dyDescent="0.2">
      <c r="A699">
        <v>6298</v>
      </c>
      <c r="B699">
        <v>254</v>
      </c>
      <c r="C699" t="s">
        <v>1060</v>
      </c>
      <c r="D699" t="s">
        <v>1763</v>
      </c>
      <c r="E699" t="s">
        <v>1062</v>
      </c>
      <c r="F699" s="8" t="s">
        <v>2759</v>
      </c>
      <c r="G699" t="str">
        <f t="shared" si="72"/>
        <v>(6298,</v>
      </c>
      <c r="H699" t="str">
        <f t="shared" si="73"/>
        <v>254,</v>
      </c>
      <c r="I699" t="str">
        <f t="shared" si="74"/>
        <v>'TSLA',</v>
      </c>
      <c r="J699" t="str">
        <f t="shared" si="75"/>
        <v>738.76,</v>
      </c>
      <c r="K699" t="str">
        <f t="shared" si="76"/>
        <v>'SELL',</v>
      </c>
      <c r="L699" t="str">
        <f t="shared" si="77"/>
        <v>'2024-02-06 14:33:00'),</v>
      </c>
      <c r="M699" t="str">
        <f t="shared" si="78"/>
        <v>(6298,254,'TSLA',738.76,'SELL','2024-02-06 14:33:00'),</v>
      </c>
    </row>
    <row r="700" spans="1:13" x14ac:dyDescent="0.2">
      <c r="A700">
        <v>4168</v>
      </c>
      <c r="B700">
        <v>351</v>
      </c>
      <c r="C700" t="s">
        <v>1063</v>
      </c>
      <c r="D700" t="s">
        <v>1764</v>
      </c>
      <c r="E700" t="s">
        <v>1062</v>
      </c>
      <c r="F700" s="8" t="s">
        <v>2760</v>
      </c>
      <c r="G700" t="str">
        <f t="shared" si="72"/>
        <v>(4168,</v>
      </c>
      <c r="H700" t="str">
        <f t="shared" si="73"/>
        <v>351,</v>
      </c>
      <c r="I700" t="str">
        <f t="shared" si="74"/>
        <v>'META',</v>
      </c>
      <c r="J700" t="str">
        <f t="shared" si="75"/>
        <v>492.21,</v>
      </c>
      <c r="K700" t="str">
        <f t="shared" si="76"/>
        <v>'SELL',</v>
      </c>
      <c r="L700" t="str">
        <f t="shared" si="77"/>
        <v>'2024-02-07 20:22:00'),</v>
      </c>
      <c r="M700" t="str">
        <f t="shared" si="78"/>
        <v>(4168,351,'META',492.21,'SELL','2024-02-07 20:22:00'),</v>
      </c>
    </row>
    <row r="701" spans="1:13" x14ac:dyDescent="0.2">
      <c r="A701">
        <v>9952</v>
      </c>
      <c r="B701">
        <v>619</v>
      </c>
      <c r="C701" t="s">
        <v>1066</v>
      </c>
      <c r="D701" t="s">
        <v>1118</v>
      </c>
      <c r="E701" t="s">
        <v>1062</v>
      </c>
      <c r="F701" s="8" t="s">
        <v>2761</v>
      </c>
      <c r="G701" t="str">
        <f t="shared" si="72"/>
        <v>(9952,</v>
      </c>
      <c r="H701" t="str">
        <f t="shared" si="73"/>
        <v>619,</v>
      </c>
      <c r="I701" t="str">
        <f t="shared" si="74"/>
        <v>'AMZN',</v>
      </c>
      <c r="J701" t="str">
        <f t="shared" si="75"/>
        <v>811.67,</v>
      </c>
      <c r="K701" t="str">
        <f t="shared" si="76"/>
        <v>'SELL',</v>
      </c>
      <c r="L701" t="str">
        <f t="shared" si="77"/>
        <v>'2024-01-18 13:04:00'),</v>
      </c>
      <c r="M701" t="str">
        <f t="shared" si="78"/>
        <v>(9952,619,'AMZN',811.67,'SELL','2024-01-18 13:04:00'),</v>
      </c>
    </row>
    <row r="702" spans="1:13" x14ac:dyDescent="0.2">
      <c r="A702">
        <v>1691</v>
      </c>
      <c r="B702">
        <v>234</v>
      </c>
      <c r="C702" t="s">
        <v>1060</v>
      </c>
      <c r="D702" t="s">
        <v>1765</v>
      </c>
      <c r="E702" t="s">
        <v>1068</v>
      </c>
      <c r="F702" s="8" t="s">
        <v>2762</v>
      </c>
      <c r="G702" t="str">
        <f t="shared" si="72"/>
        <v>(1691,</v>
      </c>
      <c r="H702" t="str">
        <f t="shared" si="73"/>
        <v>234,</v>
      </c>
      <c r="I702" t="str">
        <f t="shared" si="74"/>
        <v>'TSLA',</v>
      </c>
      <c r="J702" t="str">
        <f t="shared" si="75"/>
        <v>342.46,</v>
      </c>
      <c r="K702" t="str">
        <f t="shared" si="76"/>
        <v>'BUY',</v>
      </c>
      <c r="L702" t="str">
        <f t="shared" si="77"/>
        <v>'2024-01-14 19:03:00'),</v>
      </c>
      <c r="M702" t="str">
        <f t="shared" si="78"/>
        <v>(1691,234,'TSLA',342.46,'BUY','2024-01-14 19:03:00'),</v>
      </c>
    </row>
    <row r="703" spans="1:13" x14ac:dyDescent="0.2">
      <c r="A703">
        <v>5258</v>
      </c>
      <c r="B703">
        <v>174</v>
      </c>
      <c r="C703" t="s">
        <v>1069</v>
      </c>
      <c r="D703" t="s">
        <v>1766</v>
      </c>
      <c r="E703" t="s">
        <v>1068</v>
      </c>
      <c r="F703" s="8" t="s">
        <v>2763</v>
      </c>
      <c r="G703" t="str">
        <f t="shared" si="72"/>
        <v>(5258,</v>
      </c>
      <c r="H703" t="str">
        <f t="shared" si="73"/>
        <v>174,</v>
      </c>
      <c r="I703" t="str">
        <f t="shared" si="74"/>
        <v>'MSFT',</v>
      </c>
      <c r="J703" t="str">
        <f t="shared" si="75"/>
        <v>430.22,</v>
      </c>
      <c r="K703" t="str">
        <f t="shared" si="76"/>
        <v>'BUY',</v>
      </c>
      <c r="L703" t="str">
        <f t="shared" si="77"/>
        <v>'2024-03-20 09:41:00'),</v>
      </c>
      <c r="M703" t="str">
        <f t="shared" si="78"/>
        <v>(5258,174,'MSFT',430.22,'BUY','2024-03-20 09:41:00'),</v>
      </c>
    </row>
    <row r="704" spans="1:13" x14ac:dyDescent="0.2">
      <c r="A704">
        <v>2941</v>
      </c>
      <c r="B704">
        <v>591</v>
      </c>
      <c r="C704" t="s">
        <v>1063</v>
      </c>
      <c r="D704" t="s">
        <v>1767</v>
      </c>
      <c r="E704" t="s">
        <v>1068</v>
      </c>
      <c r="F704" s="8" t="s">
        <v>2764</v>
      </c>
      <c r="G704" t="str">
        <f t="shared" si="72"/>
        <v>(2941,</v>
      </c>
      <c r="H704" t="str">
        <f t="shared" si="73"/>
        <v>591,</v>
      </c>
      <c r="I704" t="str">
        <f t="shared" si="74"/>
        <v>'META',</v>
      </c>
      <c r="J704" t="str">
        <f t="shared" si="75"/>
        <v>256.15,</v>
      </c>
      <c r="K704" t="str">
        <f t="shared" si="76"/>
        <v>'BUY',</v>
      </c>
      <c r="L704" t="str">
        <f t="shared" si="77"/>
        <v>'2024-04-05 17:09:00'),</v>
      </c>
      <c r="M704" t="str">
        <f t="shared" si="78"/>
        <v>(2941,591,'META',256.15,'BUY','2024-04-05 17:09:00'),</v>
      </c>
    </row>
    <row r="705" spans="1:13" x14ac:dyDescent="0.2">
      <c r="A705">
        <v>2941</v>
      </c>
      <c r="B705">
        <v>162</v>
      </c>
      <c r="C705" t="s">
        <v>1063</v>
      </c>
      <c r="D705" t="s">
        <v>1768</v>
      </c>
      <c r="E705" t="s">
        <v>1068</v>
      </c>
      <c r="F705" s="8" t="s">
        <v>2765</v>
      </c>
      <c r="G705" t="str">
        <f t="shared" si="72"/>
        <v>(2941,</v>
      </c>
      <c r="H705" t="str">
        <f t="shared" si="73"/>
        <v>162,</v>
      </c>
      <c r="I705" t="str">
        <f t="shared" si="74"/>
        <v>'META',</v>
      </c>
      <c r="J705" t="str">
        <f t="shared" si="75"/>
        <v>191.44,</v>
      </c>
      <c r="K705" t="str">
        <f t="shared" si="76"/>
        <v>'BUY',</v>
      </c>
      <c r="L705" t="str">
        <f t="shared" si="77"/>
        <v>'2024-04-01 12:57:00'),</v>
      </c>
      <c r="M705" t="str">
        <f t="shared" si="78"/>
        <v>(2941,162,'META',191.44,'BUY','2024-04-01 12:57:00'),</v>
      </c>
    </row>
    <row r="706" spans="1:13" x14ac:dyDescent="0.2">
      <c r="A706">
        <v>7531</v>
      </c>
      <c r="B706">
        <v>953</v>
      </c>
      <c r="C706" t="s">
        <v>1060</v>
      </c>
      <c r="D706" t="s">
        <v>1769</v>
      </c>
      <c r="E706" t="s">
        <v>1062</v>
      </c>
      <c r="F706" s="8" t="s">
        <v>2766</v>
      </c>
      <c r="G706" t="str">
        <f t="shared" si="72"/>
        <v>(7531,</v>
      </c>
      <c r="H706" t="str">
        <f t="shared" si="73"/>
        <v>953,</v>
      </c>
      <c r="I706" t="str">
        <f t="shared" si="74"/>
        <v>'TSLA',</v>
      </c>
      <c r="J706" t="str">
        <f t="shared" si="75"/>
        <v>724.59,</v>
      </c>
      <c r="K706" t="str">
        <f t="shared" si="76"/>
        <v>'SELL',</v>
      </c>
      <c r="L706" t="str">
        <f t="shared" si="77"/>
        <v>'2024-03-08 22:50:00'),</v>
      </c>
      <c r="M706" t="str">
        <f t="shared" si="78"/>
        <v>(7531,953,'TSLA',724.59,'SELL','2024-03-08 22:50:00'),</v>
      </c>
    </row>
    <row r="707" spans="1:13" x14ac:dyDescent="0.2">
      <c r="A707">
        <v>2941</v>
      </c>
      <c r="B707">
        <v>928</v>
      </c>
      <c r="C707" t="s">
        <v>1060</v>
      </c>
      <c r="D707" t="s">
        <v>1770</v>
      </c>
      <c r="E707" t="s">
        <v>1068</v>
      </c>
      <c r="F707" s="8" t="s">
        <v>2767</v>
      </c>
      <c r="G707" t="str">
        <f t="shared" ref="G707:G770" si="79">"("&amp;A707&amp;","</f>
        <v>(2941,</v>
      </c>
      <c r="H707" t="str">
        <f t="shared" ref="H707:H770" si="80">B707&amp;","</f>
        <v>928,</v>
      </c>
      <c r="I707" t="str">
        <f t="shared" ref="I707:I770" si="81">"'"&amp;C707&amp;"',"</f>
        <v>'TSLA',</v>
      </c>
      <c r="J707" t="str">
        <f t="shared" ref="J707:J770" si="82">D707&amp;","</f>
        <v>468.8,</v>
      </c>
      <c r="K707" t="str">
        <f t="shared" ref="K707:K770" si="83">"'"&amp;E707&amp;"',"</f>
        <v>'BUY',</v>
      </c>
      <c r="L707" t="str">
        <f t="shared" ref="L707:L770" si="84">"'"&amp;F707&amp;"'),"</f>
        <v>'2024-05-21 07:49:00'),</v>
      </c>
      <c r="M707" t="str">
        <f t="shared" ref="M707:M770" si="85">G707&amp;H707&amp;I707&amp;J707&amp;K707&amp;L707</f>
        <v>(2941,928,'TSLA',468.8,'BUY','2024-05-21 07:49:00'),</v>
      </c>
    </row>
    <row r="708" spans="1:13" x14ac:dyDescent="0.2">
      <c r="A708">
        <v>6298</v>
      </c>
      <c r="B708">
        <v>87</v>
      </c>
      <c r="C708" t="s">
        <v>1060</v>
      </c>
      <c r="D708" t="s">
        <v>1771</v>
      </c>
      <c r="E708" t="s">
        <v>1068</v>
      </c>
      <c r="F708" s="8" t="s">
        <v>2768</v>
      </c>
      <c r="G708" t="str">
        <f t="shared" si="79"/>
        <v>(6298,</v>
      </c>
      <c r="H708" t="str">
        <f t="shared" si="80"/>
        <v>87,</v>
      </c>
      <c r="I708" t="str">
        <f t="shared" si="81"/>
        <v>'TSLA',</v>
      </c>
      <c r="J708" t="str">
        <f t="shared" si="82"/>
        <v>892.2,</v>
      </c>
      <c r="K708" t="str">
        <f t="shared" si="83"/>
        <v>'BUY',</v>
      </c>
      <c r="L708" t="str">
        <f t="shared" si="84"/>
        <v>'2024-05-15 16:46:00'),</v>
      </c>
      <c r="M708" t="str">
        <f t="shared" si="85"/>
        <v>(6298,87,'TSLA',892.2,'BUY','2024-05-15 16:46:00'),</v>
      </c>
    </row>
    <row r="709" spans="1:13" x14ac:dyDescent="0.2">
      <c r="A709">
        <v>9094</v>
      </c>
      <c r="B709">
        <v>288</v>
      </c>
      <c r="C709" t="s">
        <v>1063</v>
      </c>
      <c r="D709" t="s">
        <v>1772</v>
      </c>
      <c r="E709" t="s">
        <v>1068</v>
      </c>
      <c r="F709" s="8" t="s">
        <v>2769</v>
      </c>
      <c r="G709" t="str">
        <f t="shared" si="79"/>
        <v>(9094,</v>
      </c>
      <c r="H709" t="str">
        <f t="shared" si="80"/>
        <v>288,</v>
      </c>
      <c r="I709" t="str">
        <f t="shared" si="81"/>
        <v>'META',</v>
      </c>
      <c r="J709" t="str">
        <f t="shared" si="82"/>
        <v>277.99,</v>
      </c>
      <c r="K709" t="str">
        <f t="shared" si="83"/>
        <v>'BUY',</v>
      </c>
      <c r="L709" t="str">
        <f t="shared" si="84"/>
        <v>'2024-02-28 10:52:00'),</v>
      </c>
      <c r="M709" t="str">
        <f t="shared" si="85"/>
        <v>(9094,288,'META',277.99,'BUY','2024-02-28 10:52:00'),</v>
      </c>
    </row>
    <row r="710" spans="1:13" x14ac:dyDescent="0.2">
      <c r="A710">
        <v>5297</v>
      </c>
      <c r="B710">
        <v>898</v>
      </c>
      <c r="C710" t="s">
        <v>1063</v>
      </c>
      <c r="D710" t="s">
        <v>1773</v>
      </c>
      <c r="E710" t="s">
        <v>1062</v>
      </c>
      <c r="F710" s="8" t="s">
        <v>2770</v>
      </c>
      <c r="G710" t="str">
        <f t="shared" si="79"/>
        <v>(5297,</v>
      </c>
      <c r="H710" t="str">
        <f t="shared" si="80"/>
        <v>898,</v>
      </c>
      <c r="I710" t="str">
        <f t="shared" si="81"/>
        <v>'META',</v>
      </c>
      <c r="J710" t="str">
        <f t="shared" si="82"/>
        <v>479.32,</v>
      </c>
      <c r="K710" t="str">
        <f t="shared" si="83"/>
        <v>'SELL',</v>
      </c>
      <c r="L710" t="str">
        <f t="shared" si="84"/>
        <v>'2024-02-05 14:42:00'),</v>
      </c>
      <c r="M710" t="str">
        <f t="shared" si="85"/>
        <v>(5297,898,'META',479.32,'SELL','2024-02-05 14:42:00'),</v>
      </c>
    </row>
    <row r="711" spans="1:13" x14ac:dyDescent="0.2">
      <c r="A711">
        <v>4168</v>
      </c>
      <c r="B711">
        <v>336</v>
      </c>
      <c r="C711" t="s">
        <v>1060</v>
      </c>
      <c r="D711" t="s">
        <v>1774</v>
      </c>
      <c r="E711" t="s">
        <v>1068</v>
      </c>
      <c r="F711" s="8" t="s">
        <v>2771</v>
      </c>
      <c r="G711" t="str">
        <f t="shared" si="79"/>
        <v>(4168,</v>
      </c>
      <c r="H711" t="str">
        <f t="shared" si="80"/>
        <v>336,</v>
      </c>
      <c r="I711" t="str">
        <f t="shared" si="81"/>
        <v>'TSLA',</v>
      </c>
      <c r="J711" t="str">
        <f t="shared" si="82"/>
        <v>773.51,</v>
      </c>
      <c r="K711" t="str">
        <f t="shared" si="83"/>
        <v>'BUY',</v>
      </c>
      <c r="L711" t="str">
        <f t="shared" si="84"/>
        <v>'2024-04-12 00:31:00'),</v>
      </c>
      <c r="M711" t="str">
        <f t="shared" si="85"/>
        <v>(4168,336,'TSLA',773.51,'BUY','2024-04-12 00:31:00'),</v>
      </c>
    </row>
    <row r="712" spans="1:13" x14ac:dyDescent="0.2">
      <c r="A712">
        <v>5258</v>
      </c>
      <c r="B712">
        <v>943</v>
      </c>
      <c r="C712" t="s">
        <v>1066</v>
      </c>
      <c r="D712" t="s">
        <v>1775</v>
      </c>
      <c r="E712" t="s">
        <v>1068</v>
      </c>
      <c r="F712" s="8" t="s">
        <v>2772</v>
      </c>
      <c r="G712" t="str">
        <f t="shared" si="79"/>
        <v>(5258,</v>
      </c>
      <c r="H712" t="str">
        <f t="shared" si="80"/>
        <v>943,</v>
      </c>
      <c r="I712" t="str">
        <f t="shared" si="81"/>
        <v>'AMZN',</v>
      </c>
      <c r="J712" t="str">
        <f t="shared" si="82"/>
        <v>565.47,</v>
      </c>
      <c r="K712" t="str">
        <f t="shared" si="83"/>
        <v>'BUY',</v>
      </c>
      <c r="L712" t="str">
        <f t="shared" si="84"/>
        <v>'2024-03-06 00:50:00'),</v>
      </c>
      <c r="M712" t="str">
        <f t="shared" si="85"/>
        <v>(5258,943,'AMZN',565.47,'BUY','2024-03-06 00:50:00'),</v>
      </c>
    </row>
    <row r="713" spans="1:13" x14ac:dyDescent="0.2">
      <c r="A713">
        <v>9094</v>
      </c>
      <c r="B713">
        <v>748</v>
      </c>
      <c r="C713" t="s">
        <v>1060</v>
      </c>
      <c r="D713" t="s">
        <v>1776</v>
      </c>
      <c r="E713" t="s">
        <v>1068</v>
      </c>
      <c r="F713" s="8" t="s">
        <v>2773</v>
      </c>
      <c r="G713" t="str">
        <f t="shared" si="79"/>
        <v>(9094,</v>
      </c>
      <c r="H713" t="str">
        <f t="shared" si="80"/>
        <v>748,</v>
      </c>
      <c r="I713" t="str">
        <f t="shared" si="81"/>
        <v>'TSLA',</v>
      </c>
      <c r="J713" t="str">
        <f t="shared" si="82"/>
        <v>836.92,</v>
      </c>
      <c r="K713" t="str">
        <f t="shared" si="83"/>
        <v>'BUY',</v>
      </c>
      <c r="L713" t="str">
        <f t="shared" si="84"/>
        <v>'2024-02-26 05:41:00'),</v>
      </c>
      <c r="M713" t="str">
        <f t="shared" si="85"/>
        <v>(9094,748,'TSLA',836.92,'BUY','2024-02-26 05:41:00'),</v>
      </c>
    </row>
    <row r="714" spans="1:13" x14ac:dyDescent="0.2">
      <c r="A714">
        <v>9094</v>
      </c>
      <c r="B714">
        <v>209</v>
      </c>
      <c r="C714" t="s">
        <v>1063</v>
      </c>
      <c r="D714" t="s">
        <v>1777</v>
      </c>
      <c r="E714" t="s">
        <v>1068</v>
      </c>
      <c r="F714" s="8" t="s">
        <v>2774</v>
      </c>
      <c r="G714" t="str">
        <f t="shared" si="79"/>
        <v>(9094,</v>
      </c>
      <c r="H714" t="str">
        <f t="shared" si="80"/>
        <v>209,</v>
      </c>
      <c r="I714" t="str">
        <f t="shared" si="81"/>
        <v>'META',</v>
      </c>
      <c r="J714" t="str">
        <f t="shared" si="82"/>
        <v>862.77,</v>
      </c>
      <c r="K714" t="str">
        <f t="shared" si="83"/>
        <v>'BUY',</v>
      </c>
      <c r="L714" t="str">
        <f t="shared" si="84"/>
        <v>'2024-05-21 15:50:00'),</v>
      </c>
      <c r="M714" t="str">
        <f t="shared" si="85"/>
        <v>(9094,209,'META',862.77,'BUY','2024-05-21 15:50:00'),</v>
      </c>
    </row>
    <row r="715" spans="1:13" x14ac:dyDescent="0.2">
      <c r="A715">
        <v>5258</v>
      </c>
      <c r="B715">
        <v>974</v>
      </c>
      <c r="C715" t="s">
        <v>1066</v>
      </c>
      <c r="D715" t="s">
        <v>1778</v>
      </c>
      <c r="E715" t="s">
        <v>1062</v>
      </c>
      <c r="F715" s="8" t="s">
        <v>2775</v>
      </c>
      <c r="G715" t="str">
        <f t="shared" si="79"/>
        <v>(5258,</v>
      </c>
      <c r="H715" t="str">
        <f t="shared" si="80"/>
        <v>974,</v>
      </c>
      <c r="I715" t="str">
        <f t="shared" si="81"/>
        <v>'AMZN',</v>
      </c>
      <c r="J715" t="str">
        <f t="shared" si="82"/>
        <v>638.67,</v>
      </c>
      <c r="K715" t="str">
        <f t="shared" si="83"/>
        <v>'SELL',</v>
      </c>
      <c r="L715" t="str">
        <f t="shared" si="84"/>
        <v>'2024-01-08 08:02:00'),</v>
      </c>
      <c r="M715" t="str">
        <f t="shared" si="85"/>
        <v>(5258,974,'AMZN',638.67,'SELL','2024-01-08 08:02:00'),</v>
      </c>
    </row>
    <row r="716" spans="1:13" x14ac:dyDescent="0.2">
      <c r="A716">
        <v>4710</v>
      </c>
      <c r="B716">
        <v>915</v>
      </c>
      <c r="C716" t="s">
        <v>1069</v>
      </c>
      <c r="D716" t="s">
        <v>1779</v>
      </c>
      <c r="E716" t="s">
        <v>1062</v>
      </c>
      <c r="F716" s="8" t="s">
        <v>2776</v>
      </c>
      <c r="G716" t="str">
        <f t="shared" si="79"/>
        <v>(4710,</v>
      </c>
      <c r="H716" t="str">
        <f t="shared" si="80"/>
        <v>915,</v>
      </c>
      <c r="I716" t="str">
        <f t="shared" si="81"/>
        <v>'MSFT',</v>
      </c>
      <c r="J716" t="str">
        <f t="shared" si="82"/>
        <v>701.29,</v>
      </c>
      <c r="K716" t="str">
        <f t="shared" si="83"/>
        <v>'SELL',</v>
      </c>
      <c r="L716" t="str">
        <f t="shared" si="84"/>
        <v>'2024-01-02 13:07:00'),</v>
      </c>
      <c r="M716" t="str">
        <f t="shared" si="85"/>
        <v>(4710,915,'MSFT',701.29,'SELL','2024-01-02 13:07:00'),</v>
      </c>
    </row>
    <row r="717" spans="1:13" x14ac:dyDescent="0.2">
      <c r="A717">
        <v>5297</v>
      </c>
      <c r="B717">
        <v>334</v>
      </c>
      <c r="C717" t="s">
        <v>1069</v>
      </c>
      <c r="D717" t="s">
        <v>1780</v>
      </c>
      <c r="E717" t="s">
        <v>1068</v>
      </c>
      <c r="F717" s="8" t="s">
        <v>2777</v>
      </c>
      <c r="G717" t="str">
        <f t="shared" si="79"/>
        <v>(5297,</v>
      </c>
      <c r="H717" t="str">
        <f t="shared" si="80"/>
        <v>334,</v>
      </c>
      <c r="I717" t="str">
        <f t="shared" si="81"/>
        <v>'MSFT',</v>
      </c>
      <c r="J717" t="str">
        <f t="shared" si="82"/>
        <v>728.71,</v>
      </c>
      <c r="K717" t="str">
        <f t="shared" si="83"/>
        <v>'BUY',</v>
      </c>
      <c r="L717" t="str">
        <f t="shared" si="84"/>
        <v>'2024-04-23 07:06:00'),</v>
      </c>
      <c r="M717" t="str">
        <f t="shared" si="85"/>
        <v>(5297,334,'MSFT',728.71,'BUY','2024-04-23 07:06:00'),</v>
      </c>
    </row>
    <row r="718" spans="1:13" x14ac:dyDescent="0.2">
      <c r="A718">
        <v>7531</v>
      </c>
      <c r="B718">
        <v>576</v>
      </c>
      <c r="C718" t="s">
        <v>1069</v>
      </c>
      <c r="D718" t="s">
        <v>1781</v>
      </c>
      <c r="E718" t="s">
        <v>1062</v>
      </c>
      <c r="F718" s="8" t="s">
        <v>2778</v>
      </c>
      <c r="G718" t="str">
        <f t="shared" si="79"/>
        <v>(7531,</v>
      </c>
      <c r="H718" t="str">
        <f t="shared" si="80"/>
        <v>576,</v>
      </c>
      <c r="I718" t="str">
        <f t="shared" si="81"/>
        <v>'MSFT',</v>
      </c>
      <c r="J718" t="str">
        <f t="shared" si="82"/>
        <v>900.46,</v>
      </c>
      <c r="K718" t="str">
        <f t="shared" si="83"/>
        <v>'SELL',</v>
      </c>
      <c r="L718" t="str">
        <f t="shared" si="84"/>
        <v>'2024-01-16 12:34:00'),</v>
      </c>
      <c r="M718" t="str">
        <f t="shared" si="85"/>
        <v>(7531,576,'MSFT',900.46,'SELL','2024-01-16 12:34:00'),</v>
      </c>
    </row>
    <row r="719" spans="1:13" x14ac:dyDescent="0.2">
      <c r="A719">
        <v>5297</v>
      </c>
      <c r="B719">
        <v>38</v>
      </c>
      <c r="C719" t="s">
        <v>1060</v>
      </c>
      <c r="D719" t="s">
        <v>1782</v>
      </c>
      <c r="E719" t="s">
        <v>1062</v>
      </c>
      <c r="F719" s="8" t="s">
        <v>2779</v>
      </c>
      <c r="G719" t="str">
        <f t="shared" si="79"/>
        <v>(5297,</v>
      </c>
      <c r="H719" t="str">
        <f t="shared" si="80"/>
        <v>38,</v>
      </c>
      <c r="I719" t="str">
        <f t="shared" si="81"/>
        <v>'TSLA',</v>
      </c>
      <c r="J719" t="str">
        <f t="shared" si="82"/>
        <v>742.41,</v>
      </c>
      <c r="K719" t="str">
        <f t="shared" si="83"/>
        <v>'SELL',</v>
      </c>
      <c r="L719" t="str">
        <f t="shared" si="84"/>
        <v>'2024-04-11 09:38:00'),</v>
      </c>
      <c r="M719" t="str">
        <f t="shared" si="85"/>
        <v>(5297,38,'TSLA',742.41,'SELL','2024-04-11 09:38:00'),</v>
      </c>
    </row>
    <row r="720" spans="1:13" x14ac:dyDescent="0.2">
      <c r="A720">
        <v>5297</v>
      </c>
      <c r="B720">
        <v>24</v>
      </c>
      <c r="C720" t="s">
        <v>1063</v>
      </c>
      <c r="D720" t="s">
        <v>1783</v>
      </c>
      <c r="E720" t="s">
        <v>1062</v>
      </c>
      <c r="F720" s="8" t="s">
        <v>2780</v>
      </c>
      <c r="G720" t="str">
        <f t="shared" si="79"/>
        <v>(5297,</v>
      </c>
      <c r="H720" t="str">
        <f t="shared" si="80"/>
        <v>24,</v>
      </c>
      <c r="I720" t="str">
        <f t="shared" si="81"/>
        <v>'META',</v>
      </c>
      <c r="J720" t="str">
        <f t="shared" si="82"/>
        <v>157.68,</v>
      </c>
      <c r="K720" t="str">
        <f t="shared" si="83"/>
        <v>'SELL',</v>
      </c>
      <c r="L720" t="str">
        <f t="shared" si="84"/>
        <v>'2024-03-19 11:17:00'),</v>
      </c>
      <c r="M720" t="str">
        <f t="shared" si="85"/>
        <v>(5297,24,'META',157.68,'SELL','2024-03-19 11:17:00'),</v>
      </c>
    </row>
    <row r="721" spans="1:13" x14ac:dyDescent="0.2">
      <c r="A721">
        <v>7922</v>
      </c>
      <c r="B721">
        <v>401</v>
      </c>
      <c r="C721" t="s">
        <v>1069</v>
      </c>
      <c r="D721" t="s">
        <v>1784</v>
      </c>
      <c r="E721" t="s">
        <v>1062</v>
      </c>
      <c r="F721" s="8" t="s">
        <v>2781</v>
      </c>
      <c r="G721" t="str">
        <f t="shared" si="79"/>
        <v>(7922,</v>
      </c>
      <c r="H721" t="str">
        <f t="shared" si="80"/>
        <v>401,</v>
      </c>
      <c r="I721" t="str">
        <f t="shared" si="81"/>
        <v>'MSFT',</v>
      </c>
      <c r="J721" t="str">
        <f t="shared" si="82"/>
        <v>209.17,</v>
      </c>
      <c r="K721" t="str">
        <f t="shared" si="83"/>
        <v>'SELL',</v>
      </c>
      <c r="L721" t="str">
        <f t="shared" si="84"/>
        <v>'2024-02-23 13:25:00'),</v>
      </c>
      <c r="M721" t="str">
        <f t="shared" si="85"/>
        <v>(7922,401,'MSFT',209.17,'SELL','2024-02-23 13:25:00'),</v>
      </c>
    </row>
    <row r="722" spans="1:13" x14ac:dyDescent="0.2">
      <c r="A722">
        <v>5705</v>
      </c>
      <c r="B722">
        <v>277</v>
      </c>
      <c r="C722" t="s">
        <v>1063</v>
      </c>
      <c r="D722" t="s">
        <v>1785</v>
      </c>
      <c r="E722" t="s">
        <v>1062</v>
      </c>
      <c r="F722" s="8" t="s">
        <v>2782</v>
      </c>
      <c r="G722" t="str">
        <f t="shared" si="79"/>
        <v>(5705,</v>
      </c>
      <c r="H722" t="str">
        <f t="shared" si="80"/>
        <v>277,</v>
      </c>
      <c r="I722" t="str">
        <f t="shared" si="81"/>
        <v>'META',</v>
      </c>
      <c r="J722" t="str">
        <f t="shared" si="82"/>
        <v>537.81,</v>
      </c>
      <c r="K722" t="str">
        <f t="shared" si="83"/>
        <v>'SELL',</v>
      </c>
      <c r="L722" t="str">
        <f t="shared" si="84"/>
        <v>'2024-05-25 04:30:00'),</v>
      </c>
      <c r="M722" t="str">
        <f t="shared" si="85"/>
        <v>(5705,277,'META',537.81,'SELL','2024-05-25 04:30:00'),</v>
      </c>
    </row>
    <row r="723" spans="1:13" x14ac:dyDescent="0.2">
      <c r="A723">
        <v>5297</v>
      </c>
      <c r="B723">
        <v>79</v>
      </c>
      <c r="C723" t="s">
        <v>1060</v>
      </c>
      <c r="D723" t="s">
        <v>1786</v>
      </c>
      <c r="E723" t="s">
        <v>1068</v>
      </c>
      <c r="F723" s="8" t="s">
        <v>2783</v>
      </c>
      <c r="G723" t="str">
        <f t="shared" si="79"/>
        <v>(5297,</v>
      </c>
      <c r="H723" t="str">
        <f t="shared" si="80"/>
        <v>79,</v>
      </c>
      <c r="I723" t="str">
        <f t="shared" si="81"/>
        <v>'TSLA',</v>
      </c>
      <c r="J723" t="str">
        <f t="shared" si="82"/>
        <v>272.17,</v>
      </c>
      <c r="K723" t="str">
        <f t="shared" si="83"/>
        <v>'BUY',</v>
      </c>
      <c r="L723" t="str">
        <f t="shared" si="84"/>
        <v>'2024-03-08 13:04:00'),</v>
      </c>
      <c r="M723" t="str">
        <f t="shared" si="85"/>
        <v>(5297,79,'TSLA',272.17,'BUY','2024-03-08 13:04:00'),</v>
      </c>
    </row>
    <row r="724" spans="1:13" x14ac:dyDescent="0.2">
      <c r="A724">
        <v>5751</v>
      </c>
      <c r="B724">
        <v>975</v>
      </c>
      <c r="C724" t="s">
        <v>1069</v>
      </c>
      <c r="D724" t="s">
        <v>1787</v>
      </c>
      <c r="E724" t="s">
        <v>1062</v>
      </c>
      <c r="F724" s="8" t="s">
        <v>2784</v>
      </c>
      <c r="G724" t="str">
        <f t="shared" si="79"/>
        <v>(5751,</v>
      </c>
      <c r="H724" t="str">
        <f t="shared" si="80"/>
        <v>975,</v>
      </c>
      <c r="I724" t="str">
        <f t="shared" si="81"/>
        <v>'MSFT',</v>
      </c>
      <c r="J724" t="str">
        <f t="shared" si="82"/>
        <v>610.09,</v>
      </c>
      <c r="K724" t="str">
        <f t="shared" si="83"/>
        <v>'SELL',</v>
      </c>
      <c r="L724" t="str">
        <f t="shared" si="84"/>
        <v>'2024-01-04 22:55:00'),</v>
      </c>
      <c r="M724" t="str">
        <f t="shared" si="85"/>
        <v>(5751,975,'MSFT',610.09,'SELL','2024-01-04 22:55:00'),</v>
      </c>
    </row>
    <row r="725" spans="1:13" x14ac:dyDescent="0.2">
      <c r="A725">
        <v>2941</v>
      </c>
      <c r="B725">
        <v>160</v>
      </c>
      <c r="C725" t="s">
        <v>1069</v>
      </c>
      <c r="D725" t="s">
        <v>1788</v>
      </c>
      <c r="E725" t="s">
        <v>1062</v>
      </c>
      <c r="F725" s="8" t="s">
        <v>2785</v>
      </c>
      <c r="G725" t="str">
        <f t="shared" si="79"/>
        <v>(2941,</v>
      </c>
      <c r="H725" t="str">
        <f t="shared" si="80"/>
        <v>160,</v>
      </c>
      <c r="I725" t="str">
        <f t="shared" si="81"/>
        <v>'MSFT',</v>
      </c>
      <c r="J725" t="str">
        <f t="shared" si="82"/>
        <v>822.12,</v>
      </c>
      <c r="K725" t="str">
        <f t="shared" si="83"/>
        <v>'SELL',</v>
      </c>
      <c r="L725" t="str">
        <f t="shared" si="84"/>
        <v>'2024-04-29 08:21:00'),</v>
      </c>
      <c r="M725" t="str">
        <f t="shared" si="85"/>
        <v>(2941,160,'MSFT',822.12,'SELL','2024-04-29 08:21:00'),</v>
      </c>
    </row>
    <row r="726" spans="1:13" x14ac:dyDescent="0.2">
      <c r="A726">
        <v>4168</v>
      </c>
      <c r="B726">
        <v>953</v>
      </c>
      <c r="C726" t="s">
        <v>1069</v>
      </c>
      <c r="D726" t="s">
        <v>1789</v>
      </c>
      <c r="E726" t="s">
        <v>1068</v>
      </c>
      <c r="F726" s="8" t="s">
        <v>2786</v>
      </c>
      <c r="G726" t="str">
        <f t="shared" si="79"/>
        <v>(4168,</v>
      </c>
      <c r="H726" t="str">
        <f t="shared" si="80"/>
        <v>953,</v>
      </c>
      <c r="I726" t="str">
        <f t="shared" si="81"/>
        <v>'MSFT',</v>
      </c>
      <c r="J726" t="str">
        <f t="shared" si="82"/>
        <v>379.96,</v>
      </c>
      <c r="K726" t="str">
        <f t="shared" si="83"/>
        <v>'BUY',</v>
      </c>
      <c r="L726" t="str">
        <f t="shared" si="84"/>
        <v>'2024-02-16 08:46:00'),</v>
      </c>
      <c r="M726" t="str">
        <f t="shared" si="85"/>
        <v>(4168,953,'MSFT',379.96,'BUY','2024-02-16 08:46:00'),</v>
      </c>
    </row>
    <row r="727" spans="1:13" x14ac:dyDescent="0.2">
      <c r="A727">
        <v>1691</v>
      </c>
      <c r="B727">
        <v>433</v>
      </c>
      <c r="C727" t="s">
        <v>1069</v>
      </c>
      <c r="D727" t="s">
        <v>1790</v>
      </c>
      <c r="E727" t="s">
        <v>1068</v>
      </c>
      <c r="F727" s="8" t="s">
        <v>2787</v>
      </c>
      <c r="G727" t="str">
        <f t="shared" si="79"/>
        <v>(1691,</v>
      </c>
      <c r="H727" t="str">
        <f t="shared" si="80"/>
        <v>433,</v>
      </c>
      <c r="I727" t="str">
        <f t="shared" si="81"/>
        <v>'MSFT',</v>
      </c>
      <c r="J727" t="str">
        <f t="shared" si="82"/>
        <v>904.38,</v>
      </c>
      <c r="K727" t="str">
        <f t="shared" si="83"/>
        <v>'BUY',</v>
      </c>
      <c r="L727" t="str">
        <f t="shared" si="84"/>
        <v>'2024-02-08 09:24:00'),</v>
      </c>
      <c r="M727" t="str">
        <f t="shared" si="85"/>
        <v>(1691,433,'MSFT',904.38,'BUY','2024-02-08 09:24:00'),</v>
      </c>
    </row>
    <row r="728" spans="1:13" x14ac:dyDescent="0.2">
      <c r="A728">
        <v>4710</v>
      </c>
      <c r="B728">
        <v>514</v>
      </c>
      <c r="C728" t="s">
        <v>1060</v>
      </c>
      <c r="D728" t="s">
        <v>1791</v>
      </c>
      <c r="E728" t="s">
        <v>1068</v>
      </c>
      <c r="F728" s="8" t="s">
        <v>2788</v>
      </c>
      <c r="G728" t="str">
        <f t="shared" si="79"/>
        <v>(4710,</v>
      </c>
      <c r="H728" t="str">
        <f t="shared" si="80"/>
        <v>514,</v>
      </c>
      <c r="I728" t="str">
        <f t="shared" si="81"/>
        <v>'TSLA',</v>
      </c>
      <c r="J728" t="str">
        <f t="shared" si="82"/>
        <v>331.17,</v>
      </c>
      <c r="K728" t="str">
        <f t="shared" si="83"/>
        <v>'BUY',</v>
      </c>
      <c r="L728" t="str">
        <f t="shared" si="84"/>
        <v>'2024-04-24 23:05:00'),</v>
      </c>
      <c r="M728" t="str">
        <f t="shared" si="85"/>
        <v>(4710,514,'TSLA',331.17,'BUY','2024-04-24 23:05:00'),</v>
      </c>
    </row>
    <row r="729" spans="1:13" x14ac:dyDescent="0.2">
      <c r="A729">
        <v>1691</v>
      </c>
      <c r="B729">
        <v>966</v>
      </c>
      <c r="C729" t="s">
        <v>1063</v>
      </c>
      <c r="D729" t="s">
        <v>1792</v>
      </c>
      <c r="E729" t="s">
        <v>1062</v>
      </c>
      <c r="F729" s="8" t="s">
        <v>2789</v>
      </c>
      <c r="G729" t="str">
        <f t="shared" si="79"/>
        <v>(1691,</v>
      </c>
      <c r="H729" t="str">
        <f t="shared" si="80"/>
        <v>966,</v>
      </c>
      <c r="I729" t="str">
        <f t="shared" si="81"/>
        <v>'META',</v>
      </c>
      <c r="J729" t="str">
        <f t="shared" si="82"/>
        <v>758.25,</v>
      </c>
      <c r="K729" t="str">
        <f t="shared" si="83"/>
        <v>'SELL',</v>
      </c>
      <c r="L729" t="str">
        <f t="shared" si="84"/>
        <v>'2024-02-26 20:52:00'),</v>
      </c>
      <c r="M729" t="str">
        <f t="shared" si="85"/>
        <v>(1691,966,'META',758.25,'SELL','2024-02-26 20:52:00'),</v>
      </c>
    </row>
    <row r="730" spans="1:13" x14ac:dyDescent="0.2">
      <c r="A730">
        <v>5297</v>
      </c>
      <c r="B730">
        <v>995</v>
      </c>
      <c r="C730" t="s">
        <v>1063</v>
      </c>
      <c r="D730" t="s">
        <v>1793</v>
      </c>
      <c r="E730" t="s">
        <v>1062</v>
      </c>
      <c r="F730" s="8" t="s">
        <v>2790</v>
      </c>
      <c r="G730" t="str">
        <f t="shared" si="79"/>
        <v>(5297,</v>
      </c>
      <c r="H730" t="str">
        <f t="shared" si="80"/>
        <v>995,</v>
      </c>
      <c r="I730" t="str">
        <f t="shared" si="81"/>
        <v>'META',</v>
      </c>
      <c r="J730" t="str">
        <f t="shared" si="82"/>
        <v>553.68,</v>
      </c>
      <c r="K730" t="str">
        <f t="shared" si="83"/>
        <v>'SELL',</v>
      </c>
      <c r="L730" t="str">
        <f t="shared" si="84"/>
        <v>'2024-01-30 15:59:00'),</v>
      </c>
      <c r="M730" t="str">
        <f t="shared" si="85"/>
        <v>(5297,995,'META',553.68,'SELL','2024-01-30 15:59:00'),</v>
      </c>
    </row>
    <row r="731" spans="1:13" x14ac:dyDescent="0.2">
      <c r="A731">
        <v>7922</v>
      </c>
      <c r="B731">
        <v>423</v>
      </c>
      <c r="C731" t="s">
        <v>1060</v>
      </c>
      <c r="D731" t="s">
        <v>1794</v>
      </c>
      <c r="E731" t="s">
        <v>1068</v>
      </c>
      <c r="F731" s="8" t="s">
        <v>2791</v>
      </c>
      <c r="G731" t="str">
        <f t="shared" si="79"/>
        <v>(7922,</v>
      </c>
      <c r="H731" t="str">
        <f t="shared" si="80"/>
        <v>423,</v>
      </c>
      <c r="I731" t="str">
        <f t="shared" si="81"/>
        <v>'TSLA',</v>
      </c>
      <c r="J731" t="str">
        <f t="shared" si="82"/>
        <v>749.92,</v>
      </c>
      <c r="K731" t="str">
        <f t="shared" si="83"/>
        <v>'BUY',</v>
      </c>
      <c r="L731" t="str">
        <f t="shared" si="84"/>
        <v>'2024-03-13 04:52:00'),</v>
      </c>
      <c r="M731" t="str">
        <f t="shared" si="85"/>
        <v>(7922,423,'TSLA',749.92,'BUY','2024-03-13 04:52:00'),</v>
      </c>
    </row>
    <row r="732" spans="1:13" x14ac:dyDescent="0.2">
      <c r="A732">
        <v>7531</v>
      </c>
      <c r="B732">
        <v>776</v>
      </c>
      <c r="C732" t="s">
        <v>1063</v>
      </c>
      <c r="D732" t="s">
        <v>1795</v>
      </c>
      <c r="E732" t="s">
        <v>1062</v>
      </c>
      <c r="F732" s="8" t="s">
        <v>2792</v>
      </c>
      <c r="G732" t="str">
        <f t="shared" si="79"/>
        <v>(7531,</v>
      </c>
      <c r="H732" t="str">
        <f t="shared" si="80"/>
        <v>776,</v>
      </c>
      <c r="I732" t="str">
        <f t="shared" si="81"/>
        <v>'META',</v>
      </c>
      <c r="J732" t="str">
        <f t="shared" si="82"/>
        <v>175.79,</v>
      </c>
      <c r="K732" t="str">
        <f t="shared" si="83"/>
        <v>'SELL',</v>
      </c>
      <c r="L732" t="str">
        <f t="shared" si="84"/>
        <v>'2024-01-22 15:01:00'),</v>
      </c>
      <c r="M732" t="str">
        <f t="shared" si="85"/>
        <v>(7531,776,'META',175.79,'SELL','2024-01-22 15:01:00'),</v>
      </c>
    </row>
    <row r="733" spans="1:13" x14ac:dyDescent="0.2">
      <c r="A733">
        <v>7531</v>
      </c>
      <c r="B733">
        <v>345</v>
      </c>
      <c r="C733" t="s">
        <v>1069</v>
      </c>
      <c r="D733" t="s">
        <v>1796</v>
      </c>
      <c r="E733" t="s">
        <v>1062</v>
      </c>
      <c r="F733" s="8" t="s">
        <v>2793</v>
      </c>
      <c r="G733" t="str">
        <f t="shared" si="79"/>
        <v>(7531,</v>
      </c>
      <c r="H733" t="str">
        <f t="shared" si="80"/>
        <v>345,</v>
      </c>
      <c r="I733" t="str">
        <f t="shared" si="81"/>
        <v>'MSFT',</v>
      </c>
      <c r="J733" t="str">
        <f t="shared" si="82"/>
        <v>224.25,</v>
      </c>
      <c r="K733" t="str">
        <f t="shared" si="83"/>
        <v>'SELL',</v>
      </c>
      <c r="L733" t="str">
        <f t="shared" si="84"/>
        <v>'2024-02-22 13:27:00'),</v>
      </c>
      <c r="M733" t="str">
        <f t="shared" si="85"/>
        <v>(7531,345,'MSFT',224.25,'SELL','2024-02-22 13:27:00'),</v>
      </c>
    </row>
    <row r="734" spans="1:13" x14ac:dyDescent="0.2">
      <c r="A734">
        <v>6298</v>
      </c>
      <c r="B734">
        <v>588</v>
      </c>
      <c r="C734" t="s">
        <v>1063</v>
      </c>
      <c r="D734" t="s">
        <v>1797</v>
      </c>
      <c r="E734" t="s">
        <v>1068</v>
      </c>
      <c r="F734" s="8" t="s">
        <v>2794</v>
      </c>
      <c r="G734" t="str">
        <f t="shared" si="79"/>
        <v>(6298,</v>
      </c>
      <c r="H734" t="str">
        <f t="shared" si="80"/>
        <v>588,</v>
      </c>
      <c r="I734" t="str">
        <f t="shared" si="81"/>
        <v>'META',</v>
      </c>
      <c r="J734" t="str">
        <f t="shared" si="82"/>
        <v>805.71,</v>
      </c>
      <c r="K734" t="str">
        <f t="shared" si="83"/>
        <v>'BUY',</v>
      </c>
      <c r="L734" t="str">
        <f t="shared" si="84"/>
        <v>'2024-02-26 20:31:00'),</v>
      </c>
      <c r="M734" t="str">
        <f t="shared" si="85"/>
        <v>(6298,588,'META',805.71,'BUY','2024-02-26 20:31:00'),</v>
      </c>
    </row>
    <row r="735" spans="1:13" x14ac:dyDescent="0.2">
      <c r="A735">
        <v>7938</v>
      </c>
      <c r="B735">
        <v>260</v>
      </c>
      <c r="C735" t="s">
        <v>1066</v>
      </c>
      <c r="D735" t="s">
        <v>1798</v>
      </c>
      <c r="E735" t="s">
        <v>1062</v>
      </c>
      <c r="F735" s="8" t="s">
        <v>2795</v>
      </c>
      <c r="G735" t="str">
        <f t="shared" si="79"/>
        <v>(7938,</v>
      </c>
      <c r="H735" t="str">
        <f t="shared" si="80"/>
        <v>260,</v>
      </c>
      <c r="I735" t="str">
        <f t="shared" si="81"/>
        <v>'AMZN',</v>
      </c>
      <c r="J735" t="str">
        <f t="shared" si="82"/>
        <v>650.26,</v>
      </c>
      <c r="K735" t="str">
        <f t="shared" si="83"/>
        <v>'SELL',</v>
      </c>
      <c r="L735" t="str">
        <f t="shared" si="84"/>
        <v>'2024-02-22 00:29:00'),</v>
      </c>
      <c r="M735" t="str">
        <f t="shared" si="85"/>
        <v>(7938,260,'AMZN',650.26,'SELL','2024-02-22 00:29:00'),</v>
      </c>
    </row>
    <row r="736" spans="1:13" x14ac:dyDescent="0.2">
      <c r="A736">
        <v>9952</v>
      </c>
      <c r="B736">
        <v>480</v>
      </c>
      <c r="C736" t="s">
        <v>1063</v>
      </c>
      <c r="D736" t="s">
        <v>1799</v>
      </c>
      <c r="E736" t="s">
        <v>1062</v>
      </c>
      <c r="F736" s="8" t="s">
        <v>2796</v>
      </c>
      <c r="G736" t="str">
        <f t="shared" si="79"/>
        <v>(9952,</v>
      </c>
      <c r="H736" t="str">
        <f t="shared" si="80"/>
        <v>480,</v>
      </c>
      <c r="I736" t="str">
        <f t="shared" si="81"/>
        <v>'META',</v>
      </c>
      <c r="J736" t="str">
        <f t="shared" si="82"/>
        <v>357.05,</v>
      </c>
      <c r="K736" t="str">
        <f t="shared" si="83"/>
        <v>'SELL',</v>
      </c>
      <c r="L736" t="str">
        <f t="shared" si="84"/>
        <v>'2024-03-20 13:15:00'),</v>
      </c>
      <c r="M736" t="str">
        <f t="shared" si="85"/>
        <v>(9952,480,'META',357.05,'SELL','2024-03-20 13:15:00'),</v>
      </c>
    </row>
    <row r="737" spans="1:13" x14ac:dyDescent="0.2">
      <c r="A737">
        <v>7938</v>
      </c>
      <c r="B737">
        <v>979</v>
      </c>
      <c r="C737" t="s">
        <v>1060</v>
      </c>
      <c r="D737" t="s">
        <v>1800</v>
      </c>
      <c r="E737" t="s">
        <v>1068</v>
      </c>
      <c r="F737" s="8" t="s">
        <v>2797</v>
      </c>
      <c r="G737" t="str">
        <f t="shared" si="79"/>
        <v>(7938,</v>
      </c>
      <c r="H737" t="str">
        <f t="shared" si="80"/>
        <v>979,</v>
      </c>
      <c r="I737" t="str">
        <f t="shared" si="81"/>
        <v>'TSLA',</v>
      </c>
      <c r="J737" t="str">
        <f t="shared" si="82"/>
        <v>275.71,</v>
      </c>
      <c r="K737" t="str">
        <f t="shared" si="83"/>
        <v>'BUY',</v>
      </c>
      <c r="L737" t="str">
        <f t="shared" si="84"/>
        <v>'2024-01-15 09:24:00'),</v>
      </c>
      <c r="M737" t="str">
        <f t="shared" si="85"/>
        <v>(7938,979,'TSLA',275.71,'BUY','2024-01-15 09:24:00'),</v>
      </c>
    </row>
    <row r="738" spans="1:13" x14ac:dyDescent="0.2">
      <c r="A738">
        <v>5297</v>
      </c>
      <c r="B738">
        <v>797</v>
      </c>
      <c r="C738" t="s">
        <v>1069</v>
      </c>
      <c r="D738" t="s">
        <v>1801</v>
      </c>
      <c r="E738" t="s">
        <v>1068</v>
      </c>
      <c r="F738" s="8" t="s">
        <v>2798</v>
      </c>
      <c r="G738" t="str">
        <f t="shared" si="79"/>
        <v>(5297,</v>
      </c>
      <c r="H738" t="str">
        <f t="shared" si="80"/>
        <v>797,</v>
      </c>
      <c r="I738" t="str">
        <f t="shared" si="81"/>
        <v>'MSFT',</v>
      </c>
      <c r="J738" t="str">
        <f t="shared" si="82"/>
        <v>397.15,</v>
      </c>
      <c r="K738" t="str">
        <f t="shared" si="83"/>
        <v>'BUY',</v>
      </c>
      <c r="L738" t="str">
        <f t="shared" si="84"/>
        <v>'2024-01-01 12:10:00'),</v>
      </c>
      <c r="M738" t="str">
        <f t="shared" si="85"/>
        <v>(5297,797,'MSFT',397.15,'BUY','2024-01-01 12:10:00'),</v>
      </c>
    </row>
    <row r="739" spans="1:13" x14ac:dyDescent="0.2">
      <c r="A739">
        <v>5297</v>
      </c>
      <c r="B739">
        <v>983</v>
      </c>
      <c r="C739" t="s">
        <v>1066</v>
      </c>
      <c r="D739" t="s">
        <v>1802</v>
      </c>
      <c r="E739" t="s">
        <v>1062</v>
      </c>
      <c r="F739" s="8" t="s">
        <v>2799</v>
      </c>
      <c r="G739" t="str">
        <f t="shared" si="79"/>
        <v>(5297,</v>
      </c>
      <c r="H739" t="str">
        <f t="shared" si="80"/>
        <v>983,</v>
      </c>
      <c r="I739" t="str">
        <f t="shared" si="81"/>
        <v>'AMZN',</v>
      </c>
      <c r="J739" t="str">
        <f t="shared" si="82"/>
        <v>295.25,</v>
      </c>
      <c r="K739" t="str">
        <f t="shared" si="83"/>
        <v>'SELL',</v>
      </c>
      <c r="L739" t="str">
        <f t="shared" si="84"/>
        <v>'2024-04-11 06:54:00'),</v>
      </c>
      <c r="M739" t="str">
        <f t="shared" si="85"/>
        <v>(5297,983,'AMZN',295.25,'SELL','2024-04-11 06:54:00'),</v>
      </c>
    </row>
    <row r="740" spans="1:13" x14ac:dyDescent="0.2">
      <c r="A740">
        <v>9094</v>
      </c>
      <c r="B740">
        <v>996</v>
      </c>
      <c r="C740" t="s">
        <v>1066</v>
      </c>
      <c r="D740" t="s">
        <v>1803</v>
      </c>
      <c r="E740" t="s">
        <v>1062</v>
      </c>
      <c r="F740" s="8" t="s">
        <v>2800</v>
      </c>
      <c r="G740" t="str">
        <f t="shared" si="79"/>
        <v>(9094,</v>
      </c>
      <c r="H740" t="str">
        <f t="shared" si="80"/>
        <v>996,</v>
      </c>
      <c r="I740" t="str">
        <f t="shared" si="81"/>
        <v>'AMZN',</v>
      </c>
      <c r="J740" t="str">
        <f t="shared" si="82"/>
        <v>379.8,</v>
      </c>
      <c r="K740" t="str">
        <f t="shared" si="83"/>
        <v>'SELL',</v>
      </c>
      <c r="L740" t="str">
        <f t="shared" si="84"/>
        <v>'2024-05-24 03:01:00'),</v>
      </c>
      <c r="M740" t="str">
        <f t="shared" si="85"/>
        <v>(9094,996,'AMZN',379.8,'SELL','2024-05-24 03:01:00'),</v>
      </c>
    </row>
    <row r="741" spans="1:13" x14ac:dyDescent="0.2">
      <c r="A741">
        <v>6298</v>
      </c>
      <c r="B741">
        <v>588</v>
      </c>
      <c r="C741" t="s">
        <v>1069</v>
      </c>
      <c r="D741" t="s">
        <v>1804</v>
      </c>
      <c r="E741" t="s">
        <v>1068</v>
      </c>
      <c r="F741" s="8" t="s">
        <v>2801</v>
      </c>
      <c r="G741" t="str">
        <f t="shared" si="79"/>
        <v>(6298,</v>
      </c>
      <c r="H741" t="str">
        <f t="shared" si="80"/>
        <v>588,</v>
      </c>
      <c r="I741" t="str">
        <f t="shared" si="81"/>
        <v>'MSFT',</v>
      </c>
      <c r="J741" t="str">
        <f t="shared" si="82"/>
        <v>321.23,</v>
      </c>
      <c r="K741" t="str">
        <f t="shared" si="83"/>
        <v>'BUY',</v>
      </c>
      <c r="L741" t="str">
        <f t="shared" si="84"/>
        <v>'2024-04-10 13:57:00'),</v>
      </c>
      <c r="M741" t="str">
        <f t="shared" si="85"/>
        <v>(6298,588,'MSFT',321.23,'BUY','2024-04-10 13:57:00'),</v>
      </c>
    </row>
    <row r="742" spans="1:13" x14ac:dyDescent="0.2">
      <c r="A742">
        <v>4168</v>
      </c>
      <c r="B742">
        <v>299</v>
      </c>
      <c r="C742" t="s">
        <v>1069</v>
      </c>
      <c r="D742" t="s">
        <v>1805</v>
      </c>
      <c r="E742" t="s">
        <v>1062</v>
      </c>
      <c r="F742" s="8" t="s">
        <v>2802</v>
      </c>
      <c r="G742" t="str">
        <f t="shared" si="79"/>
        <v>(4168,</v>
      </c>
      <c r="H742" t="str">
        <f t="shared" si="80"/>
        <v>299,</v>
      </c>
      <c r="I742" t="str">
        <f t="shared" si="81"/>
        <v>'MSFT',</v>
      </c>
      <c r="J742" t="str">
        <f t="shared" si="82"/>
        <v>690.97,</v>
      </c>
      <c r="K742" t="str">
        <f t="shared" si="83"/>
        <v>'SELL',</v>
      </c>
      <c r="L742" t="str">
        <f t="shared" si="84"/>
        <v>'2024-04-02 22:26:00'),</v>
      </c>
      <c r="M742" t="str">
        <f t="shared" si="85"/>
        <v>(4168,299,'MSFT',690.97,'SELL','2024-04-02 22:26:00'),</v>
      </c>
    </row>
    <row r="743" spans="1:13" x14ac:dyDescent="0.2">
      <c r="A743">
        <v>5705</v>
      </c>
      <c r="B743">
        <v>421</v>
      </c>
      <c r="C743" t="s">
        <v>1069</v>
      </c>
      <c r="D743" t="s">
        <v>1806</v>
      </c>
      <c r="E743" t="s">
        <v>1062</v>
      </c>
      <c r="F743" s="8" t="s">
        <v>2803</v>
      </c>
      <c r="G743" t="str">
        <f t="shared" si="79"/>
        <v>(5705,</v>
      </c>
      <c r="H743" t="str">
        <f t="shared" si="80"/>
        <v>421,</v>
      </c>
      <c r="I743" t="str">
        <f t="shared" si="81"/>
        <v>'MSFT',</v>
      </c>
      <c r="J743" t="str">
        <f t="shared" si="82"/>
        <v>408.26,</v>
      </c>
      <c r="K743" t="str">
        <f t="shared" si="83"/>
        <v>'SELL',</v>
      </c>
      <c r="L743" t="str">
        <f t="shared" si="84"/>
        <v>'2024-04-26 07:03:00'),</v>
      </c>
      <c r="M743" t="str">
        <f t="shared" si="85"/>
        <v>(5705,421,'MSFT',408.26,'SELL','2024-04-26 07:03:00'),</v>
      </c>
    </row>
    <row r="744" spans="1:13" x14ac:dyDescent="0.2">
      <c r="A744">
        <v>9952</v>
      </c>
      <c r="B744">
        <v>451</v>
      </c>
      <c r="C744" t="s">
        <v>1063</v>
      </c>
      <c r="D744" t="s">
        <v>1807</v>
      </c>
      <c r="E744" t="s">
        <v>1062</v>
      </c>
      <c r="F744" s="8" t="s">
        <v>2804</v>
      </c>
      <c r="G744" t="str">
        <f t="shared" si="79"/>
        <v>(9952,</v>
      </c>
      <c r="H744" t="str">
        <f t="shared" si="80"/>
        <v>451,</v>
      </c>
      <c r="I744" t="str">
        <f t="shared" si="81"/>
        <v>'META',</v>
      </c>
      <c r="J744" t="str">
        <f t="shared" si="82"/>
        <v>640.11,</v>
      </c>
      <c r="K744" t="str">
        <f t="shared" si="83"/>
        <v>'SELL',</v>
      </c>
      <c r="L744" t="str">
        <f t="shared" si="84"/>
        <v>'2024-04-02 18:06:00'),</v>
      </c>
      <c r="M744" t="str">
        <f t="shared" si="85"/>
        <v>(9952,451,'META',640.11,'SELL','2024-04-02 18:06:00'),</v>
      </c>
    </row>
    <row r="745" spans="1:13" x14ac:dyDescent="0.2">
      <c r="A745">
        <v>6298</v>
      </c>
      <c r="B745">
        <v>106</v>
      </c>
      <c r="C745" t="s">
        <v>1069</v>
      </c>
      <c r="D745" t="s">
        <v>1808</v>
      </c>
      <c r="E745" t="s">
        <v>1068</v>
      </c>
      <c r="F745" s="8" t="s">
        <v>2805</v>
      </c>
      <c r="G745" t="str">
        <f t="shared" si="79"/>
        <v>(6298,</v>
      </c>
      <c r="H745" t="str">
        <f t="shared" si="80"/>
        <v>106,</v>
      </c>
      <c r="I745" t="str">
        <f t="shared" si="81"/>
        <v>'MSFT',</v>
      </c>
      <c r="J745" t="str">
        <f t="shared" si="82"/>
        <v>976.4,</v>
      </c>
      <c r="K745" t="str">
        <f t="shared" si="83"/>
        <v>'BUY',</v>
      </c>
      <c r="L745" t="str">
        <f t="shared" si="84"/>
        <v>'2024-05-11 20:46:00'),</v>
      </c>
      <c r="M745" t="str">
        <f t="shared" si="85"/>
        <v>(6298,106,'MSFT',976.4,'BUY','2024-05-11 20:46:00'),</v>
      </c>
    </row>
    <row r="746" spans="1:13" x14ac:dyDescent="0.2">
      <c r="A746">
        <v>2941</v>
      </c>
      <c r="B746">
        <v>719</v>
      </c>
      <c r="C746" t="s">
        <v>1069</v>
      </c>
      <c r="D746" t="s">
        <v>1809</v>
      </c>
      <c r="E746" t="s">
        <v>1062</v>
      </c>
      <c r="F746" s="8" t="s">
        <v>2806</v>
      </c>
      <c r="G746" t="str">
        <f t="shared" si="79"/>
        <v>(2941,</v>
      </c>
      <c r="H746" t="str">
        <f t="shared" si="80"/>
        <v>719,</v>
      </c>
      <c r="I746" t="str">
        <f t="shared" si="81"/>
        <v>'MSFT',</v>
      </c>
      <c r="J746" t="str">
        <f t="shared" si="82"/>
        <v>458.51,</v>
      </c>
      <c r="K746" t="str">
        <f t="shared" si="83"/>
        <v>'SELL',</v>
      </c>
      <c r="L746" t="str">
        <f t="shared" si="84"/>
        <v>'2024-02-01 18:28:00'),</v>
      </c>
      <c r="M746" t="str">
        <f t="shared" si="85"/>
        <v>(2941,719,'MSFT',458.51,'SELL','2024-02-01 18:28:00'),</v>
      </c>
    </row>
    <row r="747" spans="1:13" x14ac:dyDescent="0.2">
      <c r="A747">
        <v>4669</v>
      </c>
      <c r="B747">
        <v>843</v>
      </c>
      <c r="C747" t="s">
        <v>1063</v>
      </c>
      <c r="D747" t="s">
        <v>1810</v>
      </c>
      <c r="E747" t="s">
        <v>1068</v>
      </c>
      <c r="F747" s="8" t="s">
        <v>2807</v>
      </c>
      <c r="G747" t="str">
        <f t="shared" si="79"/>
        <v>(4669,</v>
      </c>
      <c r="H747" t="str">
        <f t="shared" si="80"/>
        <v>843,</v>
      </c>
      <c r="I747" t="str">
        <f t="shared" si="81"/>
        <v>'META',</v>
      </c>
      <c r="J747" t="str">
        <f t="shared" si="82"/>
        <v>701.45,</v>
      </c>
      <c r="K747" t="str">
        <f t="shared" si="83"/>
        <v>'BUY',</v>
      </c>
      <c r="L747" t="str">
        <f t="shared" si="84"/>
        <v>'2024-05-05 08:34:00'),</v>
      </c>
      <c r="M747" t="str">
        <f t="shared" si="85"/>
        <v>(4669,843,'META',701.45,'BUY','2024-05-05 08:34:00'),</v>
      </c>
    </row>
    <row r="748" spans="1:13" x14ac:dyDescent="0.2">
      <c r="A748">
        <v>9094</v>
      </c>
      <c r="B748">
        <v>962</v>
      </c>
      <c r="C748" t="s">
        <v>1063</v>
      </c>
      <c r="D748" t="s">
        <v>1811</v>
      </c>
      <c r="E748" t="s">
        <v>1068</v>
      </c>
      <c r="F748" s="8" t="s">
        <v>2808</v>
      </c>
      <c r="G748" t="str">
        <f t="shared" si="79"/>
        <v>(9094,</v>
      </c>
      <c r="H748" t="str">
        <f t="shared" si="80"/>
        <v>962,</v>
      </c>
      <c r="I748" t="str">
        <f t="shared" si="81"/>
        <v>'META',</v>
      </c>
      <c r="J748" t="str">
        <f t="shared" si="82"/>
        <v>996.68,</v>
      </c>
      <c r="K748" t="str">
        <f t="shared" si="83"/>
        <v>'BUY',</v>
      </c>
      <c r="L748" t="str">
        <f t="shared" si="84"/>
        <v>'2024-04-03 03:33:00'),</v>
      </c>
      <c r="M748" t="str">
        <f t="shared" si="85"/>
        <v>(9094,962,'META',996.68,'BUY','2024-04-03 03:33:00'),</v>
      </c>
    </row>
    <row r="749" spans="1:13" x14ac:dyDescent="0.2">
      <c r="A749">
        <v>4669</v>
      </c>
      <c r="B749">
        <v>961</v>
      </c>
      <c r="C749" t="s">
        <v>1060</v>
      </c>
      <c r="D749" t="s">
        <v>1812</v>
      </c>
      <c r="E749" t="s">
        <v>1068</v>
      </c>
      <c r="F749" s="8" t="s">
        <v>2809</v>
      </c>
      <c r="G749" t="str">
        <f t="shared" si="79"/>
        <v>(4669,</v>
      </c>
      <c r="H749" t="str">
        <f t="shared" si="80"/>
        <v>961,</v>
      </c>
      <c r="I749" t="str">
        <f t="shared" si="81"/>
        <v>'TSLA',</v>
      </c>
      <c r="J749" t="str">
        <f t="shared" si="82"/>
        <v>909.49,</v>
      </c>
      <c r="K749" t="str">
        <f t="shared" si="83"/>
        <v>'BUY',</v>
      </c>
      <c r="L749" t="str">
        <f t="shared" si="84"/>
        <v>'2024-02-21 13:32:00'),</v>
      </c>
      <c r="M749" t="str">
        <f t="shared" si="85"/>
        <v>(4669,961,'TSLA',909.49,'BUY','2024-02-21 13:32:00'),</v>
      </c>
    </row>
    <row r="750" spans="1:13" x14ac:dyDescent="0.2">
      <c r="A750">
        <v>7531</v>
      </c>
      <c r="B750">
        <v>801</v>
      </c>
      <c r="C750" t="s">
        <v>1069</v>
      </c>
      <c r="D750" t="s">
        <v>1813</v>
      </c>
      <c r="E750" t="s">
        <v>1068</v>
      </c>
      <c r="F750" s="8" t="s">
        <v>2810</v>
      </c>
      <c r="G750" t="str">
        <f t="shared" si="79"/>
        <v>(7531,</v>
      </c>
      <c r="H750" t="str">
        <f t="shared" si="80"/>
        <v>801,</v>
      </c>
      <c r="I750" t="str">
        <f t="shared" si="81"/>
        <v>'MSFT',</v>
      </c>
      <c r="J750" t="str">
        <f t="shared" si="82"/>
        <v>406.24,</v>
      </c>
      <c r="K750" t="str">
        <f t="shared" si="83"/>
        <v>'BUY',</v>
      </c>
      <c r="L750" t="str">
        <f t="shared" si="84"/>
        <v>'2024-03-25 16:22:00'),</v>
      </c>
      <c r="M750" t="str">
        <f t="shared" si="85"/>
        <v>(7531,801,'MSFT',406.24,'BUY','2024-03-25 16:22:00'),</v>
      </c>
    </row>
    <row r="751" spans="1:13" x14ac:dyDescent="0.2">
      <c r="A751">
        <v>4669</v>
      </c>
      <c r="B751">
        <v>752</v>
      </c>
      <c r="C751" t="s">
        <v>1069</v>
      </c>
      <c r="D751" t="s">
        <v>1814</v>
      </c>
      <c r="E751" t="s">
        <v>1068</v>
      </c>
      <c r="F751" s="8" t="s">
        <v>2811</v>
      </c>
      <c r="G751" t="str">
        <f t="shared" si="79"/>
        <v>(4669,</v>
      </c>
      <c r="H751" t="str">
        <f t="shared" si="80"/>
        <v>752,</v>
      </c>
      <c r="I751" t="str">
        <f t="shared" si="81"/>
        <v>'MSFT',</v>
      </c>
      <c r="J751" t="str">
        <f t="shared" si="82"/>
        <v>966.7,</v>
      </c>
      <c r="K751" t="str">
        <f t="shared" si="83"/>
        <v>'BUY',</v>
      </c>
      <c r="L751" t="str">
        <f t="shared" si="84"/>
        <v>'2024-04-20 16:49:00'),</v>
      </c>
      <c r="M751" t="str">
        <f t="shared" si="85"/>
        <v>(4669,752,'MSFT',966.7,'BUY','2024-04-20 16:49:00'),</v>
      </c>
    </row>
    <row r="752" spans="1:13" x14ac:dyDescent="0.2">
      <c r="A752">
        <v>9094</v>
      </c>
      <c r="B752">
        <v>657</v>
      </c>
      <c r="C752" t="s">
        <v>1060</v>
      </c>
      <c r="D752" t="s">
        <v>1815</v>
      </c>
      <c r="E752" t="s">
        <v>1062</v>
      </c>
      <c r="F752" s="8" t="s">
        <v>2812</v>
      </c>
      <c r="G752" t="str">
        <f t="shared" si="79"/>
        <v>(9094,</v>
      </c>
      <c r="H752" t="str">
        <f t="shared" si="80"/>
        <v>657,</v>
      </c>
      <c r="I752" t="str">
        <f t="shared" si="81"/>
        <v>'TSLA',</v>
      </c>
      <c r="J752" t="str">
        <f t="shared" si="82"/>
        <v>370.78,</v>
      </c>
      <c r="K752" t="str">
        <f t="shared" si="83"/>
        <v>'SELL',</v>
      </c>
      <c r="L752" t="str">
        <f t="shared" si="84"/>
        <v>'2024-03-03 20:50:00'),</v>
      </c>
      <c r="M752" t="str">
        <f t="shared" si="85"/>
        <v>(9094,657,'TSLA',370.78,'SELL','2024-03-03 20:50:00'),</v>
      </c>
    </row>
    <row r="753" spans="1:13" x14ac:dyDescent="0.2">
      <c r="A753">
        <v>1691</v>
      </c>
      <c r="B753">
        <v>564</v>
      </c>
      <c r="C753" t="s">
        <v>1069</v>
      </c>
      <c r="D753" t="s">
        <v>1816</v>
      </c>
      <c r="E753" t="s">
        <v>1068</v>
      </c>
      <c r="F753" s="8" t="s">
        <v>2813</v>
      </c>
      <c r="G753" t="str">
        <f t="shared" si="79"/>
        <v>(1691,</v>
      </c>
      <c r="H753" t="str">
        <f t="shared" si="80"/>
        <v>564,</v>
      </c>
      <c r="I753" t="str">
        <f t="shared" si="81"/>
        <v>'MSFT',</v>
      </c>
      <c r="J753" t="str">
        <f t="shared" si="82"/>
        <v>296.78,</v>
      </c>
      <c r="K753" t="str">
        <f t="shared" si="83"/>
        <v>'BUY',</v>
      </c>
      <c r="L753" t="str">
        <f t="shared" si="84"/>
        <v>'2024-05-11 22:47:00'),</v>
      </c>
      <c r="M753" t="str">
        <f t="shared" si="85"/>
        <v>(1691,564,'MSFT',296.78,'BUY','2024-05-11 22:47:00'),</v>
      </c>
    </row>
    <row r="754" spans="1:13" x14ac:dyDescent="0.2">
      <c r="A754">
        <v>7531</v>
      </c>
      <c r="B754">
        <v>64</v>
      </c>
      <c r="C754" t="s">
        <v>1069</v>
      </c>
      <c r="D754" t="s">
        <v>1817</v>
      </c>
      <c r="E754" t="s">
        <v>1062</v>
      </c>
      <c r="F754" s="8" t="s">
        <v>2814</v>
      </c>
      <c r="G754" t="str">
        <f t="shared" si="79"/>
        <v>(7531,</v>
      </c>
      <c r="H754" t="str">
        <f t="shared" si="80"/>
        <v>64,</v>
      </c>
      <c r="I754" t="str">
        <f t="shared" si="81"/>
        <v>'MSFT',</v>
      </c>
      <c r="J754" t="str">
        <f t="shared" si="82"/>
        <v>262.46,</v>
      </c>
      <c r="K754" t="str">
        <f t="shared" si="83"/>
        <v>'SELL',</v>
      </c>
      <c r="L754" t="str">
        <f t="shared" si="84"/>
        <v>'2024-04-16 13:51:00'),</v>
      </c>
      <c r="M754" t="str">
        <f t="shared" si="85"/>
        <v>(7531,64,'MSFT',262.46,'SELL','2024-04-16 13:51:00'),</v>
      </c>
    </row>
    <row r="755" spans="1:13" x14ac:dyDescent="0.2">
      <c r="A755">
        <v>4710</v>
      </c>
      <c r="B755">
        <v>129</v>
      </c>
      <c r="C755" t="s">
        <v>1060</v>
      </c>
      <c r="D755" t="s">
        <v>1818</v>
      </c>
      <c r="E755" t="s">
        <v>1068</v>
      </c>
      <c r="F755" s="8" t="s">
        <v>2815</v>
      </c>
      <c r="G755" t="str">
        <f t="shared" si="79"/>
        <v>(4710,</v>
      </c>
      <c r="H755" t="str">
        <f t="shared" si="80"/>
        <v>129,</v>
      </c>
      <c r="I755" t="str">
        <f t="shared" si="81"/>
        <v>'TSLA',</v>
      </c>
      <c r="J755" t="str">
        <f t="shared" si="82"/>
        <v>426.91,</v>
      </c>
      <c r="K755" t="str">
        <f t="shared" si="83"/>
        <v>'BUY',</v>
      </c>
      <c r="L755" t="str">
        <f t="shared" si="84"/>
        <v>'2024-02-13 01:01:00'),</v>
      </c>
      <c r="M755" t="str">
        <f t="shared" si="85"/>
        <v>(4710,129,'TSLA',426.91,'BUY','2024-02-13 01:01:00'),</v>
      </c>
    </row>
    <row r="756" spans="1:13" x14ac:dyDescent="0.2">
      <c r="A756">
        <v>6298</v>
      </c>
      <c r="B756">
        <v>312</v>
      </c>
      <c r="C756" t="s">
        <v>1060</v>
      </c>
      <c r="D756" t="s">
        <v>1819</v>
      </c>
      <c r="E756" t="s">
        <v>1062</v>
      </c>
      <c r="F756" s="8" t="s">
        <v>2816</v>
      </c>
      <c r="G756" t="str">
        <f t="shared" si="79"/>
        <v>(6298,</v>
      </c>
      <c r="H756" t="str">
        <f t="shared" si="80"/>
        <v>312,</v>
      </c>
      <c r="I756" t="str">
        <f t="shared" si="81"/>
        <v>'TSLA',</v>
      </c>
      <c r="J756" t="str">
        <f t="shared" si="82"/>
        <v>816.95,</v>
      </c>
      <c r="K756" t="str">
        <f t="shared" si="83"/>
        <v>'SELL',</v>
      </c>
      <c r="L756" t="str">
        <f t="shared" si="84"/>
        <v>'2024-04-28 07:09:00'),</v>
      </c>
      <c r="M756" t="str">
        <f t="shared" si="85"/>
        <v>(6298,312,'TSLA',816.95,'SELL','2024-04-28 07:09:00'),</v>
      </c>
    </row>
    <row r="757" spans="1:13" x14ac:dyDescent="0.2">
      <c r="A757">
        <v>7531</v>
      </c>
      <c r="B757">
        <v>789</v>
      </c>
      <c r="C757" t="s">
        <v>1060</v>
      </c>
      <c r="D757" t="s">
        <v>1820</v>
      </c>
      <c r="E757" t="s">
        <v>1062</v>
      </c>
      <c r="F757" s="8" t="s">
        <v>2817</v>
      </c>
      <c r="G757" t="str">
        <f t="shared" si="79"/>
        <v>(7531,</v>
      </c>
      <c r="H757" t="str">
        <f t="shared" si="80"/>
        <v>789,</v>
      </c>
      <c r="I757" t="str">
        <f t="shared" si="81"/>
        <v>'TSLA',</v>
      </c>
      <c r="J757" t="str">
        <f t="shared" si="82"/>
        <v>374.97,</v>
      </c>
      <c r="K757" t="str">
        <f t="shared" si="83"/>
        <v>'SELL',</v>
      </c>
      <c r="L757" t="str">
        <f t="shared" si="84"/>
        <v>'2024-05-14 10:52:00'),</v>
      </c>
      <c r="M757" t="str">
        <f t="shared" si="85"/>
        <v>(7531,789,'TSLA',374.97,'SELL','2024-05-14 10:52:00'),</v>
      </c>
    </row>
    <row r="758" spans="1:13" x14ac:dyDescent="0.2">
      <c r="A758">
        <v>5705</v>
      </c>
      <c r="B758">
        <v>764</v>
      </c>
      <c r="C758" t="s">
        <v>1066</v>
      </c>
      <c r="D758" t="s">
        <v>1821</v>
      </c>
      <c r="E758" t="s">
        <v>1068</v>
      </c>
      <c r="F758" s="8" t="s">
        <v>2818</v>
      </c>
      <c r="G758" t="str">
        <f t="shared" si="79"/>
        <v>(5705,</v>
      </c>
      <c r="H758" t="str">
        <f t="shared" si="80"/>
        <v>764,</v>
      </c>
      <c r="I758" t="str">
        <f t="shared" si="81"/>
        <v>'AMZN',</v>
      </c>
      <c r="J758" t="str">
        <f t="shared" si="82"/>
        <v>196.22,</v>
      </c>
      <c r="K758" t="str">
        <f t="shared" si="83"/>
        <v>'BUY',</v>
      </c>
      <c r="L758" t="str">
        <f t="shared" si="84"/>
        <v>'2024-03-02 04:15:00'),</v>
      </c>
      <c r="M758" t="str">
        <f t="shared" si="85"/>
        <v>(5705,764,'AMZN',196.22,'BUY','2024-03-02 04:15:00'),</v>
      </c>
    </row>
    <row r="759" spans="1:13" x14ac:dyDescent="0.2">
      <c r="A759">
        <v>6298</v>
      </c>
      <c r="B759">
        <v>338</v>
      </c>
      <c r="C759" t="s">
        <v>1069</v>
      </c>
      <c r="D759" t="s">
        <v>1822</v>
      </c>
      <c r="E759" t="s">
        <v>1068</v>
      </c>
      <c r="F759" s="8" t="s">
        <v>2819</v>
      </c>
      <c r="G759" t="str">
        <f t="shared" si="79"/>
        <v>(6298,</v>
      </c>
      <c r="H759" t="str">
        <f t="shared" si="80"/>
        <v>338,</v>
      </c>
      <c r="I759" t="str">
        <f t="shared" si="81"/>
        <v>'MSFT',</v>
      </c>
      <c r="J759" t="str">
        <f t="shared" si="82"/>
        <v>391.28,</v>
      </c>
      <c r="K759" t="str">
        <f t="shared" si="83"/>
        <v>'BUY',</v>
      </c>
      <c r="L759" t="str">
        <f t="shared" si="84"/>
        <v>'2024-05-29 14:16:00'),</v>
      </c>
      <c r="M759" t="str">
        <f t="shared" si="85"/>
        <v>(6298,338,'MSFT',391.28,'BUY','2024-05-29 14:16:00'),</v>
      </c>
    </row>
    <row r="760" spans="1:13" x14ac:dyDescent="0.2">
      <c r="A760">
        <v>1691</v>
      </c>
      <c r="B760">
        <v>270</v>
      </c>
      <c r="C760" t="s">
        <v>1060</v>
      </c>
      <c r="D760" t="s">
        <v>1823</v>
      </c>
      <c r="E760" t="s">
        <v>1062</v>
      </c>
      <c r="F760" s="8" t="s">
        <v>2820</v>
      </c>
      <c r="G760" t="str">
        <f t="shared" si="79"/>
        <v>(1691,</v>
      </c>
      <c r="H760" t="str">
        <f t="shared" si="80"/>
        <v>270,</v>
      </c>
      <c r="I760" t="str">
        <f t="shared" si="81"/>
        <v>'TSLA',</v>
      </c>
      <c r="J760" t="str">
        <f t="shared" si="82"/>
        <v>531.72,</v>
      </c>
      <c r="K760" t="str">
        <f t="shared" si="83"/>
        <v>'SELL',</v>
      </c>
      <c r="L760" t="str">
        <f t="shared" si="84"/>
        <v>'2024-02-24 08:42:00'),</v>
      </c>
      <c r="M760" t="str">
        <f t="shared" si="85"/>
        <v>(1691,270,'TSLA',531.72,'SELL','2024-02-24 08:42:00'),</v>
      </c>
    </row>
    <row r="761" spans="1:13" x14ac:dyDescent="0.2">
      <c r="A761">
        <v>6298</v>
      </c>
      <c r="B761">
        <v>859</v>
      </c>
      <c r="C761" t="s">
        <v>1060</v>
      </c>
      <c r="D761" t="s">
        <v>1824</v>
      </c>
      <c r="E761" t="s">
        <v>1068</v>
      </c>
      <c r="F761" s="8" t="s">
        <v>2821</v>
      </c>
      <c r="G761" t="str">
        <f t="shared" si="79"/>
        <v>(6298,</v>
      </c>
      <c r="H761" t="str">
        <f t="shared" si="80"/>
        <v>859,</v>
      </c>
      <c r="I761" t="str">
        <f t="shared" si="81"/>
        <v>'TSLA',</v>
      </c>
      <c r="J761" t="str">
        <f t="shared" si="82"/>
        <v>812.28,</v>
      </c>
      <c r="K761" t="str">
        <f t="shared" si="83"/>
        <v>'BUY',</v>
      </c>
      <c r="L761" t="str">
        <f t="shared" si="84"/>
        <v>'2024-02-23 15:24:00'),</v>
      </c>
      <c r="M761" t="str">
        <f t="shared" si="85"/>
        <v>(6298,859,'TSLA',812.28,'BUY','2024-02-23 15:24:00'),</v>
      </c>
    </row>
    <row r="762" spans="1:13" x14ac:dyDescent="0.2">
      <c r="A762">
        <v>2941</v>
      </c>
      <c r="B762">
        <v>93</v>
      </c>
      <c r="C762" t="s">
        <v>1060</v>
      </c>
      <c r="D762" t="s">
        <v>1825</v>
      </c>
      <c r="E762" t="s">
        <v>1062</v>
      </c>
      <c r="F762" s="8" t="s">
        <v>2822</v>
      </c>
      <c r="G762" t="str">
        <f t="shared" si="79"/>
        <v>(2941,</v>
      </c>
      <c r="H762" t="str">
        <f t="shared" si="80"/>
        <v>93,</v>
      </c>
      <c r="I762" t="str">
        <f t="shared" si="81"/>
        <v>'TSLA',</v>
      </c>
      <c r="J762" t="str">
        <f t="shared" si="82"/>
        <v>727.16,</v>
      </c>
      <c r="K762" t="str">
        <f t="shared" si="83"/>
        <v>'SELL',</v>
      </c>
      <c r="L762" t="str">
        <f t="shared" si="84"/>
        <v>'2024-05-29 09:00:00'),</v>
      </c>
      <c r="M762" t="str">
        <f t="shared" si="85"/>
        <v>(2941,93,'TSLA',727.16,'SELL','2024-05-29 09:00:00'),</v>
      </c>
    </row>
    <row r="763" spans="1:13" x14ac:dyDescent="0.2">
      <c r="A763">
        <v>5297</v>
      </c>
      <c r="B763">
        <v>169</v>
      </c>
      <c r="C763" t="s">
        <v>1063</v>
      </c>
      <c r="D763" t="s">
        <v>1826</v>
      </c>
      <c r="E763" t="s">
        <v>1068</v>
      </c>
      <c r="F763" s="8" t="s">
        <v>2823</v>
      </c>
      <c r="G763" t="str">
        <f t="shared" si="79"/>
        <v>(5297,</v>
      </c>
      <c r="H763" t="str">
        <f t="shared" si="80"/>
        <v>169,</v>
      </c>
      <c r="I763" t="str">
        <f t="shared" si="81"/>
        <v>'META',</v>
      </c>
      <c r="J763" t="str">
        <f t="shared" si="82"/>
        <v>555.97,</v>
      </c>
      <c r="K763" t="str">
        <f t="shared" si="83"/>
        <v>'BUY',</v>
      </c>
      <c r="L763" t="str">
        <f t="shared" si="84"/>
        <v>'2024-01-09 02:15:00'),</v>
      </c>
      <c r="M763" t="str">
        <f t="shared" si="85"/>
        <v>(5297,169,'META',555.97,'BUY','2024-01-09 02:15:00'),</v>
      </c>
    </row>
    <row r="764" spans="1:13" x14ac:dyDescent="0.2">
      <c r="A764">
        <v>9952</v>
      </c>
      <c r="B764">
        <v>325</v>
      </c>
      <c r="C764" t="s">
        <v>1066</v>
      </c>
      <c r="D764" t="s">
        <v>1827</v>
      </c>
      <c r="E764" t="s">
        <v>1068</v>
      </c>
      <c r="F764" s="8" t="s">
        <v>2824</v>
      </c>
      <c r="G764" t="str">
        <f t="shared" si="79"/>
        <v>(9952,</v>
      </c>
      <c r="H764" t="str">
        <f t="shared" si="80"/>
        <v>325,</v>
      </c>
      <c r="I764" t="str">
        <f t="shared" si="81"/>
        <v>'AMZN',</v>
      </c>
      <c r="J764" t="str">
        <f t="shared" si="82"/>
        <v>955.83,</v>
      </c>
      <c r="K764" t="str">
        <f t="shared" si="83"/>
        <v>'BUY',</v>
      </c>
      <c r="L764" t="str">
        <f t="shared" si="84"/>
        <v>'2024-05-25 14:52:00'),</v>
      </c>
      <c r="M764" t="str">
        <f t="shared" si="85"/>
        <v>(9952,325,'AMZN',955.83,'BUY','2024-05-25 14:52:00'),</v>
      </c>
    </row>
    <row r="765" spans="1:13" x14ac:dyDescent="0.2">
      <c r="A765">
        <v>6298</v>
      </c>
      <c r="B765">
        <v>342</v>
      </c>
      <c r="C765" t="s">
        <v>1060</v>
      </c>
      <c r="D765" t="s">
        <v>1828</v>
      </c>
      <c r="E765" t="s">
        <v>1068</v>
      </c>
      <c r="F765" s="8" t="s">
        <v>2825</v>
      </c>
      <c r="G765" t="str">
        <f t="shared" si="79"/>
        <v>(6298,</v>
      </c>
      <c r="H765" t="str">
        <f t="shared" si="80"/>
        <v>342,</v>
      </c>
      <c r="I765" t="str">
        <f t="shared" si="81"/>
        <v>'TSLA',</v>
      </c>
      <c r="J765" t="str">
        <f t="shared" si="82"/>
        <v>810.98,</v>
      </c>
      <c r="K765" t="str">
        <f t="shared" si="83"/>
        <v>'BUY',</v>
      </c>
      <c r="L765" t="str">
        <f t="shared" si="84"/>
        <v>'2024-05-20 01:49:00'),</v>
      </c>
      <c r="M765" t="str">
        <f t="shared" si="85"/>
        <v>(6298,342,'TSLA',810.98,'BUY','2024-05-20 01:49:00'),</v>
      </c>
    </row>
    <row r="766" spans="1:13" x14ac:dyDescent="0.2">
      <c r="A766">
        <v>5705</v>
      </c>
      <c r="B766">
        <v>410</v>
      </c>
      <c r="C766" t="s">
        <v>1066</v>
      </c>
      <c r="D766" t="s">
        <v>1829</v>
      </c>
      <c r="E766" t="s">
        <v>1062</v>
      </c>
      <c r="F766" s="8" t="s">
        <v>2826</v>
      </c>
      <c r="G766" t="str">
        <f t="shared" si="79"/>
        <v>(5705,</v>
      </c>
      <c r="H766" t="str">
        <f t="shared" si="80"/>
        <v>410,</v>
      </c>
      <c r="I766" t="str">
        <f t="shared" si="81"/>
        <v>'AMZN',</v>
      </c>
      <c r="J766" t="str">
        <f t="shared" si="82"/>
        <v>928.34,</v>
      </c>
      <c r="K766" t="str">
        <f t="shared" si="83"/>
        <v>'SELL',</v>
      </c>
      <c r="L766" t="str">
        <f t="shared" si="84"/>
        <v>'2024-04-23 19:44:00'),</v>
      </c>
      <c r="M766" t="str">
        <f t="shared" si="85"/>
        <v>(5705,410,'AMZN',928.34,'SELL','2024-04-23 19:44:00'),</v>
      </c>
    </row>
    <row r="767" spans="1:13" x14ac:dyDescent="0.2">
      <c r="A767">
        <v>7938</v>
      </c>
      <c r="B767">
        <v>5</v>
      </c>
      <c r="C767" t="s">
        <v>1063</v>
      </c>
      <c r="D767" t="s">
        <v>1830</v>
      </c>
      <c r="E767" t="s">
        <v>1068</v>
      </c>
      <c r="F767" s="8" t="s">
        <v>2827</v>
      </c>
      <c r="G767" t="str">
        <f t="shared" si="79"/>
        <v>(7938,</v>
      </c>
      <c r="H767" t="str">
        <f t="shared" si="80"/>
        <v>5,</v>
      </c>
      <c r="I767" t="str">
        <f t="shared" si="81"/>
        <v>'META',</v>
      </c>
      <c r="J767" t="str">
        <f t="shared" si="82"/>
        <v>666.91,</v>
      </c>
      <c r="K767" t="str">
        <f t="shared" si="83"/>
        <v>'BUY',</v>
      </c>
      <c r="L767" t="str">
        <f t="shared" si="84"/>
        <v>'2024-05-17 16:35:00'),</v>
      </c>
      <c r="M767" t="str">
        <f t="shared" si="85"/>
        <v>(7938,5,'META',666.91,'BUY','2024-05-17 16:35:00'),</v>
      </c>
    </row>
    <row r="768" spans="1:13" x14ac:dyDescent="0.2">
      <c r="A768">
        <v>5751</v>
      </c>
      <c r="B768">
        <v>41</v>
      </c>
      <c r="C768" t="s">
        <v>1069</v>
      </c>
      <c r="D768" t="s">
        <v>1831</v>
      </c>
      <c r="E768" t="s">
        <v>1068</v>
      </c>
      <c r="F768" s="8" t="s">
        <v>2828</v>
      </c>
      <c r="G768" t="str">
        <f t="shared" si="79"/>
        <v>(5751,</v>
      </c>
      <c r="H768" t="str">
        <f t="shared" si="80"/>
        <v>41,</v>
      </c>
      <c r="I768" t="str">
        <f t="shared" si="81"/>
        <v>'MSFT',</v>
      </c>
      <c r="J768" t="str">
        <f t="shared" si="82"/>
        <v>703.14,</v>
      </c>
      <c r="K768" t="str">
        <f t="shared" si="83"/>
        <v>'BUY',</v>
      </c>
      <c r="L768" t="str">
        <f t="shared" si="84"/>
        <v>'2024-03-06 19:30:00'),</v>
      </c>
      <c r="M768" t="str">
        <f t="shared" si="85"/>
        <v>(5751,41,'MSFT',703.14,'BUY','2024-03-06 19:30:00'),</v>
      </c>
    </row>
    <row r="769" spans="1:13" x14ac:dyDescent="0.2">
      <c r="A769">
        <v>4168</v>
      </c>
      <c r="B769">
        <v>954</v>
      </c>
      <c r="C769" t="s">
        <v>1063</v>
      </c>
      <c r="D769" t="s">
        <v>1832</v>
      </c>
      <c r="E769" t="s">
        <v>1068</v>
      </c>
      <c r="F769" s="8" t="s">
        <v>2829</v>
      </c>
      <c r="G769" t="str">
        <f t="shared" si="79"/>
        <v>(4168,</v>
      </c>
      <c r="H769" t="str">
        <f t="shared" si="80"/>
        <v>954,</v>
      </c>
      <c r="I769" t="str">
        <f t="shared" si="81"/>
        <v>'META',</v>
      </c>
      <c r="J769" t="str">
        <f t="shared" si="82"/>
        <v>947.25,</v>
      </c>
      <c r="K769" t="str">
        <f t="shared" si="83"/>
        <v>'BUY',</v>
      </c>
      <c r="L769" t="str">
        <f t="shared" si="84"/>
        <v>'2024-02-04 06:45:00'),</v>
      </c>
      <c r="M769" t="str">
        <f t="shared" si="85"/>
        <v>(4168,954,'META',947.25,'BUY','2024-02-04 06:45:00'),</v>
      </c>
    </row>
    <row r="770" spans="1:13" x14ac:dyDescent="0.2">
      <c r="A770">
        <v>5751</v>
      </c>
      <c r="B770">
        <v>433</v>
      </c>
      <c r="C770" t="s">
        <v>1066</v>
      </c>
      <c r="D770" t="s">
        <v>1833</v>
      </c>
      <c r="E770" t="s">
        <v>1062</v>
      </c>
      <c r="F770" s="8" t="s">
        <v>2830</v>
      </c>
      <c r="G770" t="str">
        <f t="shared" si="79"/>
        <v>(5751,</v>
      </c>
      <c r="H770" t="str">
        <f t="shared" si="80"/>
        <v>433,</v>
      </c>
      <c r="I770" t="str">
        <f t="shared" si="81"/>
        <v>'AMZN',</v>
      </c>
      <c r="J770" t="str">
        <f t="shared" si="82"/>
        <v>629.49,</v>
      </c>
      <c r="K770" t="str">
        <f t="shared" si="83"/>
        <v>'SELL',</v>
      </c>
      <c r="L770" t="str">
        <f t="shared" si="84"/>
        <v>'2024-01-10 01:27:00'),</v>
      </c>
      <c r="M770" t="str">
        <f t="shared" si="85"/>
        <v>(5751,433,'AMZN',629.49,'SELL','2024-01-10 01:27:00'),</v>
      </c>
    </row>
    <row r="771" spans="1:13" x14ac:dyDescent="0.2">
      <c r="A771">
        <v>9952</v>
      </c>
      <c r="B771">
        <v>847</v>
      </c>
      <c r="C771" t="s">
        <v>1060</v>
      </c>
      <c r="D771" t="s">
        <v>1834</v>
      </c>
      <c r="E771" t="s">
        <v>1068</v>
      </c>
      <c r="F771" s="8" t="s">
        <v>2831</v>
      </c>
      <c r="G771" t="str">
        <f t="shared" ref="G771:G834" si="86">"("&amp;A771&amp;","</f>
        <v>(9952,</v>
      </c>
      <c r="H771" t="str">
        <f t="shared" ref="H771:H834" si="87">B771&amp;","</f>
        <v>847,</v>
      </c>
      <c r="I771" t="str">
        <f t="shared" ref="I771:I834" si="88">"'"&amp;C771&amp;"',"</f>
        <v>'TSLA',</v>
      </c>
      <c r="J771" t="str">
        <f t="shared" ref="J771:J834" si="89">D771&amp;","</f>
        <v>745.25,</v>
      </c>
      <c r="K771" t="str">
        <f t="shared" ref="K771:K834" si="90">"'"&amp;E771&amp;"',"</f>
        <v>'BUY',</v>
      </c>
      <c r="L771" t="str">
        <f t="shared" ref="L771:L834" si="91">"'"&amp;F771&amp;"'),"</f>
        <v>'2024-01-22 15:10:00'),</v>
      </c>
      <c r="M771" t="str">
        <f t="shared" ref="M771:M834" si="92">G771&amp;H771&amp;I771&amp;J771&amp;K771&amp;L771</f>
        <v>(9952,847,'TSLA',745.25,'BUY','2024-01-22 15:10:00'),</v>
      </c>
    </row>
    <row r="772" spans="1:13" x14ac:dyDescent="0.2">
      <c r="A772">
        <v>7938</v>
      </c>
      <c r="B772">
        <v>980</v>
      </c>
      <c r="C772" t="s">
        <v>1060</v>
      </c>
      <c r="D772" t="s">
        <v>1835</v>
      </c>
      <c r="E772" t="s">
        <v>1062</v>
      </c>
      <c r="F772" s="8" t="s">
        <v>2832</v>
      </c>
      <c r="G772" t="str">
        <f t="shared" si="86"/>
        <v>(7938,</v>
      </c>
      <c r="H772" t="str">
        <f t="shared" si="87"/>
        <v>980,</v>
      </c>
      <c r="I772" t="str">
        <f t="shared" si="88"/>
        <v>'TSLA',</v>
      </c>
      <c r="J772" t="str">
        <f t="shared" si="89"/>
        <v>808.79,</v>
      </c>
      <c r="K772" t="str">
        <f t="shared" si="90"/>
        <v>'SELL',</v>
      </c>
      <c r="L772" t="str">
        <f t="shared" si="91"/>
        <v>'2024-03-29 08:06:00'),</v>
      </c>
      <c r="M772" t="str">
        <f t="shared" si="92"/>
        <v>(7938,980,'TSLA',808.79,'SELL','2024-03-29 08:06:00'),</v>
      </c>
    </row>
    <row r="773" spans="1:13" x14ac:dyDescent="0.2">
      <c r="A773">
        <v>9094</v>
      </c>
      <c r="B773">
        <v>540</v>
      </c>
      <c r="C773" t="s">
        <v>1069</v>
      </c>
      <c r="D773" t="s">
        <v>1836</v>
      </c>
      <c r="E773" t="s">
        <v>1068</v>
      </c>
      <c r="F773" s="8" t="s">
        <v>2833</v>
      </c>
      <c r="G773" t="str">
        <f t="shared" si="86"/>
        <v>(9094,</v>
      </c>
      <c r="H773" t="str">
        <f t="shared" si="87"/>
        <v>540,</v>
      </c>
      <c r="I773" t="str">
        <f t="shared" si="88"/>
        <v>'MSFT',</v>
      </c>
      <c r="J773" t="str">
        <f t="shared" si="89"/>
        <v>768.55,</v>
      </c>
      <c r="K773" t="str">
        <f t="shared" si="90"/>
        <v>'BUY',</v>
      </c>
      <c r="L773" t="str">
        <f t="shared" si="91"/>
        <v>'2024-02-28 11:10:00'),</v>
      </c>
      <c r="M773" t="str">
        <f t="shared" si="92"/>
        <v>(9094,540,'MSFT',768.55,'BUY','2024-02-28 11:10:00'),</v>
      </c>
    </row>
    <row r="774" spans="1:13" x14ac:dyDescent="0.2">
      <c r="A774">
        <v>5705</v>
      </c>
      <c r="B774">
        <v>757</v>
      </c>
      <c r="C774" t="s">
        <v>1066</v>
      </c>
      <c r="D774" t="s">
        <v>1837</v>
      </c>
      <c r="E774" t="s">
        <v>1068</v>
      </c>
      <c r="F774" s="8" t="s">
        <v>2834</v>
      </c>
      <c r="G774" t="str">
        <f t="shared" si="86"/>
        <v>(5705,</v>
      </c>
      <c r="H774" t="str">
        <f t="shared" si="87"/>
        <v>757,</v>
      </c>
      <c r="I774" t="str">
        <f t="shared" si="88"/>
        <v>'AMZN',</v>
      </c>
      <c r="J774" t="str">
        <f t="shared" si="89"/>
        <v>419.8,</v>
      </c>
      <c r="K774" t="str">
        <f t="shared" si="90"/>
        <v>'BUY',</v>
      </c>
      <c r="L774" t="str">
        <f t="shared" si="91"/>
        <v>'2024-03-08 16:02:00'),</v>
      </c>
      <c r="M774" t="str">
        <f t="shared" si="92"/>
        <v>(5705,757,'AMZN',419.8,'BUY','2024-03-08 16:02:00'),</v>
      </c>
    </row>
    <row r="775" spans="1:13" x14ac:dyDescent="0.2">
      <c r="A775">
        <v>6298</v>
      </c>
      <c r="B775">
        <v>667</v>
      </c>
      <c r="C775" t="s">
        <v>1069</v>
      </c>
      <c r="D775" t="s">
        <v>1838</v>
      </c>
      <c r="E775" t="s">
        <v>1068</v>
      </c>
      <c r="F775" s="8" t="s">
        <v>2835</v>
      </c>
      <c r="G775" t="str">
        <f t="shared" si="86"/>
        <v>(6298,</v>
      </c>
      <c r="H775" t="str">
        <f t="shared" si="87"/>
        <v>667,</v>
      </c>
      <c r="I775" t="str">
        <f t="shared" si="88"/>
        <v>'MSFT',</v>
      </c>
      <c r="J775" t="str">
        <f t="shared" si="89"/>
        <v>924.47,</v>
      </c>
      <c r="K775" t="str">
        <f t="shared" si="90"/>
        <v>'BUY',</v>
      </c>
      <c r="L775" t="str">
        <f t="shared" si="91"/>
        <v>'2024-01-14 21:14:00'),</v>
      </c>
      <c r="M775" t="str">
        <f t="shared" si="92"/>
        <v>(6298,667,'MSFT',924.47,'BUY','2024-01-14 21:14:00'),</v>
      </c>
    </row>
    <row r="776" spans="1:13" x14ac:dyDescent="0.2">
      <c r="A776">
        <v>5297</v>
      </c>
      <c r="B776">
        <v>757</v>
      </c>
      <c r="C776" t="s">
        <v>1060</v>
      </c>
      <c r="D776" t="s">
        <v>1839</v>
      </c>
      <c r="E776" t="s">
        <v>1068</v>
      </c>
      <c r="F776" s="8" t="s">
        <v>2836</v>
      </c>
      <c r="G776" t="str">
        <f t="shared" si="86"/>
        <v>(5297,</v>
      </c>
      <c r="H776" t="str">
        <f t="shared" si="87"/>
        <v>757,</v>
      </c>
      <c r="I776" t="str">
        <f t="shared" si="88"/>
        <v>'TSLA',</v>
      </c>
      <c r="J776" t="str">
        <f t="shared" si="89"/>
        <v>450.97,</v>
      </c>
      <c r="K776" t="str">
        <f t="shared" si="90"/>
        <v>'BUY',</v>
      </c>
      <c r="L776" t="str">
        <f t="shared" si="91"/>
        <v>'2024-04-21 16:38:00'),</v>
      </c>
      <c r="M776" t="str">
        <f t="shared" si="92"/>
        <v>(5297,757,'TSLA',450.97,'BUY','2024-04-21 16:38:00'),</v>
      </c>
    </row>
    <row r="777" spans="1:13" x14ac:dyDescent="0.2">
      <c r="A777">
        <v>9952</v>
      </c>
      <c r="B777">
        <v>276</v>
      </c>
      <c r="C777" t="s">
        <v>1066</v>
      </c>
      <c r="D777" t="s">
        <v>1840</v>
      </c>
      <c r="E777" t="s">
        <v>1068</v>
      </c>
      <c r="F777" s="8" t="s">
        <v>2837</v>
      </c>
      <c r="G777" t="str">
        <f t="shared" si="86"/>
        <v>(9952,</v>
      </c>
      <c r="H777" t="str">
        <f t="shared" si="87"/>
        <v>276,</v>
      </c>
      <c r="I777" t="str">
        <f t="shared" si="88"/>
        <v>'AMZN',</v>
      </c>
      <c r="J777" t="str">
        <f t="shared" si="89"/>
        <v>338.84,</v>
      </c>
      <c r="K777" t="str">
        <f t="shared" si="90"/>
        <v>'BUY',</v>
      </c>
      <c r="L777" t="str">
        <f t="shared" si="91"/>
        <v>'2024-05-26 16:00:00'),</v>
      </c>
      <c r="M777" t="str">
        <f t="shared" si="92"/>
        <v>(9952,276,'AMZN',338.84,'BUY','2024-05-26 16:00:00'),</v>
      </c>
    </row>
    <row r="778" spans="1:13" x14ac:dyDescent="0.2">
      <c r="A778">
        <v>5705</v>
      </c>
      <c r="B778">
        <v>894</v>
      </c>
      <c r="C778" t="s">
        <v>1069</v>
      </c>
      <c r="D778" t="s">
        <v>1841</v>
      </c>
      <c r="E778" t="s">
        <v>1068</v>
      </c>
      <c r="F778" s="8" t="s">
        <v>2838</v>
      </c>
      <c r="G778" t="str">
        <f t="shared" si="86"/>
        <v>(5705,</v>
      </c>
      <c r="H778" t="str">
        <f t="shared" si="87"/>
        <v>894,</v>
      </c>
      <c r="I778" t="str">
        <f t="shared" si="88"/>
        <v>'MSFT',</v>
      </c>
      <c r="J778" t="str">
        <f t="shared" si="89"/>
        <v>456.12,</v>
      </c>
      <c r="K778" t="str">
        <f t="shared" si="90"/>
        <v>'BUY',</v>
      </c>
      <c r="L778" t="str">
        <f t="shared" si="91"/>
        <v>'2024-03-01 15:57:00'),</v>
      </c>
      <c r="M778" t="str">
        <f t="shared" si="92"/>
        <v>(5705,894,'MSFT',456.12,'BUY','2024-03-01 15:57:00'),</v>
      </c>
    </row>
    <row r="779" spans="1:13" x14ac:dyDescent="0.2">
      <c r="A779">
        <v>5751</v>
      </c>
      <c r="B779">
        <v>635</v>
      </c>
      <c r="C779" t="s">
        <v>1060</v>
      </c>
      <c r="D779" t="s">
        <v>1842</v>
      </c>
      <c r="E779" t="s">
        <v>1068</v>
      </c>
      <c r="F779" s="8" t="s">
        <v>2839</v>
      </c>
      <c r="G779" t="str">
        <f t="shared" si="86"/>
        <v>(5751,</v>
      </c>
      <c r="H779" t="str">
        <f t="shared" si="87"/>
        <v>635,</v>
      </c>
      <c r="I779" t="str">
        <f t="shared" si="88"/>
        <v>'TSLA',</v>
      </c>
      <c r="J779" t="str">
        <f t="shared" si="89"/>
        <v>428.89,</v>
      </c>
      <c r="K779" t="str">
        <f t="shared" si="90"/>
        <v>'BUY',</v>
      </c>
      <c r="L779" t="str">
        <f t="shared" si="91"/>
        <v>'2024-03-13 00:20:00'),</v>
      </c>
      <c r="M779" t="str">
        <f t="shared" si="92"/>
        <v>(5751,635,'TSLA',428.89,'BUY','2024-03-13 00:20:00'),</v>
      </c>
    </row>
    <row r="780" spans="1:13" x14ac:dyDescent="0.2">
      <c r="A780">
        <v>5705</v>
      </c>
      <c r="B780">
        <v>389</v>
      </c>
      <c r="C780" t="s">
        <v>1060</v>
      </c>
      <c r="D780" t="s">
        <v>1843</v>
      </c>
      <c r="E780" t="s">
        <v>1062</v>
      </c>
      <c r="F780" s="8" t="s">
        <v>2840</v>
      </c>
      <c r="G780" t="str">
        <f t="shared" si="86"/>
        <v>(5705,</v>
      </c>
      <c r="H780" t="str">
        <f t="shared" si="87"/>
        <v>389,</v>
      </c>
      <c r="I780" t="str">
        <f t="shared" si="88"/>
        <v>'TSLA',</v>
      </c>
      <c r="J780" t="str">
        <f t="shared" si="89"/>
        <v>683.41,</v>
      </c>
      <c r="K780" t="str">
        <f t="shared" si="90"/>
        <v>'SELL',</v>
      </c>
      <c r="L780" t="str">
        <f t="shared" si="91"/>
        <v>'2024-04-26 12:38:00'),</v>
      </c>
      <c r="M780" t="str">
        <f t="shared" si="92"/>
        <v>(5705,389,'TSLA',683.41,'SELL','2024-04-26 12:38:00'),</v>
      </c>
    </row>
    <row r="781" spans="1:13" x14ac:dyDescent="0.2">
      <c r="A781">
        <v>1691</v>
      </c>
      <c r="B781">
        <v>943</v>
      </c>
      <c r="C781" t="s">
        <v>1066</v>
      </c>
      <c r="D781" t="s">
        <v>1844</v>
      </c>
      <c r="E781" t="s">
        <v>1062</v>
      </c>
      <c r="F781" s="8" t="s">
        <v>2841</v>
      </c>
      <c r="G781" t="str">
        <f t="shared" si="86"/>
        <v>(1691,</v>
      </c>
      <c r="H781" t="str">
        <f t="shared" si="87"/>
        <v>943,</v>
      </c>
      <c r="I781" t="str">
        <f t="shared" si="88"/>
        <v>'AMZN',</v>
      </c>
      <c r="J781" t="str">
        <f t="shared" si="89"/>
        <v>380.98,</v>
      </c>
      <c r="K781" t="str">
        <f t="shared" si="90"/>
        <v>'SELL',</v>
      </c>
      <c r="L781" t="str">
        <f t="shared" si="91"/>
        <v>'2024-02-04 12:00:00'),</v>
      </c>
      <c r="M781" t="str">
        <f t="shared" si="92"/>
        <v>(1691,943,'AMZN',380.98,'SELL','2024-02-04 12:00:00'),</v>
      </c>
    </row>
    <row r="782" spans="1:13" x14ac:dyDescent="0.2">
      <c r="A782">
        <v>5258</v>
      </c>
      <c r="B782">
        <v>851</v>
      </c>
      <c r="C782" t="s">
        <v>1060</v>
      </c>
      <c r="D782" t="s">
        <v>1845</v>
      </c>
      <c r="E782" t="s">
        <v>1062</v>
      </c>
      <c r="F782" s="8" t="s">
        <v>2842</v>
      </c>
      <c r="G782" t="str">
        <f t="shared" si="86"/>
        <v>(5258,</v>
      </c>
      <c r="H782" t="str">
        <f t="shared" si="87"/>
        <v>851,</v>
      </c>
      <c r="I782" t="str">
        <f t="shared" si="88"/>
        <v>'TSLA',</v>
      </c>
      <c r="J782" t="str">
        <f t="shared" si="89"/>
        <v>953.12,</v>
      </c>
      <c r="K782" t="str">
        <f t="shared" si="90"/>
        <v>'SELL',</v>
      </c>
      <c r="L782" t="str">
        <f t="shared" si="91"/>
        <v>'2024-04-25 08:39:00'),</v>
      </c>
      <c r="M782" t="str">
        <f t="shared" si="92"/>
        <v>(5258,851,'TSLA',953.12,'SELL','2024-04-25 08:39:00'),</v>
      </c>
    </row>
    <row r="783" spans="1:13" x14ac:dyDescent="0.2">
      <c r="A783">
        <v>4710</v>
      </c>
      <c r="B783">
        <v>208</v>
      </c>
      <c r="C783" t="s">
        <v>1060</v>
      </c>
      <c r="D783" t="s">
        <v>1846</v>
      </c>
      <c r="E783" t="s">
        <v>1068</v>
      </c>
      <c r="F783" s="8" t="s">
        <v>2843</v>
      </c>
      <c r="G783" t="str">
        <f t="shared" si="86"/>
        <v>(4710,</v>
      </c>
      <c r="H783" t="str">
        <f t="shared" si="87"/>
        <v>208,</v>
      </c>
      <c r="I783" t="str">
        <f t="shared" si="88"/>
        <v>'TSLA',</v>
      </c>
      <c r="J783" t="str">
        <f t="shared" si="89"/>
        <v>813.91,</v>
      </c>
      <c r="K783" t="str">
        <f t="shared" si="90"/>
        <v>'BUY',</v>
      </c>
      <c r="L783" t="str">
        <f t="shared" si="91"/>
        <v>'2024-03-14 04:51:00'),</v>
      </c>
      <c r="M783" t="str">
        <f t="shared" si="92"/>
        <v>(4710,208,'TSLA',813.91,'BUY','2024-03-14 04:51:00'),</v>
      </c>
    </row>
    <row r="784" spans="1:13" x14ac:dyDescent="0.2">
      <c r="A784">
        <v>5258</v>
      </c>
      <c r="B784">
        <v>442</v>
      </c>
      <c r="C784" t="s">
        <v>1069</v>
      </c>
      <c r="D784" t="s">
        <v>1847</v>
      </c>
      <c r="E784" t="s">
        <v>1062</v>
      </c>
      <c r="F784" s="8" t="s">
        <v>2844</v>
      </c>
      <c r="G784" t="str">
        <f t="shared" si="86"/>
        <v>(5258,</v>
      </c>
      <c r="H784" t="str">
        <f t="shared" si="87"/>
        <v>442,</v>
      </c>
      <c r="I784" t="str">
        <f t="shared" si="88"/>
        <v>'MSFT',</v>
      </c>
      <c r="J784" t="str">
        <f t="shared" si="89"/>
        <v>343.45,</v>
      </c>
      <c r="K784" t="str">
        <f t="shared" si="90"/>
        <v>'SELL',</v>
      </c>
      <c r="L784" t="str">
        <f t="shared" si="91"/>
        <v>'2024-01-23 12:08:00'),</v>
      </c>
      <c r="M784" t="str">
        <f t="shared" si="92"/>
        <v>(5258,442,'MSFT',343.45,'SELL','2024-01-23 12:08:00'),</v>
      </c>
    </row>
    <row r="785" spans="1:13" x14ac:dyDescent="0.2">
      <c r="A785">
        <v>4669</v>
      </c>
      <c r="B785">
        <v>591</v>
      </c>
      <c r="C785" t="s">
        <v>1066</v>
      </c>
      <c r="D785" t="s">
        <v>1848</v>
      </c>
      <c r="E785" t="s">
        <v>1062</v>
      </c>
      <c r="F785" s="8" t="s">
        <v>2845</v>
      </c>
      <c r="G785" t="str">
        <f t="shared" si="86"/>
        <v>(4669,</v>
      </c>
      <c r="H785" t="str">
        <f t="shared" si="87"/>
        <v>591,</v>
      </c>
      <c r="I785" t="str">
        <f t="shared" si="88"/>
        <v>'AMZN',</v>
      </c>
      <c r="J785" t="str">
        <f t="shared" si="89"/>
        <v>107.84,</v>
      </c>
      <c r="K785" t="str">
        <f t="shared" si="90"/>
        <v>'SELL',</v>
      </c>
      <c r="L785" t="str">
        <f t="shared" si="91"/>
        <v>'2024-03-30 09:00:00'),</v>
      </c>
      <c r="M785" t="str">
        <f t="shared" si="92"/>
        <v>(4669,591,'AMZN',107.84,'SELL','2024-03-30 09:00:00'),</v>
      </c>
    </row>
    <row r="786" spans="1:13" x14ac:dyDescent="0.2">
      <c r="A786">
        <v>1691</v>
      </c>
      <c r="B786">
        <v>695</v>
      </c>
      <c r="C786" t="s">
        <v>1069</v>
      </c>
      <c r="D786" t="s">
        <v>1849</v>
      </c>
      <c r="E786" t="s">
        <v>1068</v>
      </c>
      <c r="F786" s="8" t="s">
        <v>2846</v>
      </c>
      <c r="G786" t="str">
        <f t="shared" si="86"/>
        <v>(1691,</v>
      </c>
      <c r="H786" t="str">
        <f t="shared" si="87"/>
        <v>695,</v>
      </c>
      <c r="I786" t="str">
        <f t="shared" si="88"/>
        <v>'MSFT',</v>
      </c>
      <c r="J786" t="str">
        <f t="shared" si="89"/>
        <v>877.93,</v>
      </c>
      <c r="K786" t="str">
        <f t="shared" si="90"/>
        <v>'BUY',</v>
      </c>
      <c r="L786" t="str">
        <f t="shared" si="91"/>
        <v>'2024-01-11 05:07:00'),</v>
      </c>
      <c r="M786" t="str">
        <f t="shared" si="92"/>
        <v>(1691,695,'MSFT',877.93,'BUY','2024-01-11 05:07:00'),</v>
      </c>
    </row>
    <row r="787" spans="1:13" x14ac:dyDescent="0.2">
      <c r="A787">
        <v>4710</v>
      </c>
      <c r="B787">
        <v>306</v>
      </c>
      <c r="C787" t="s">
        <v>1063</v>
      </c>
      <c r="D787" t="s">
        <v>1850</v>
      </c>
      <c r="E787" t="s">
        <v>1068</v>
      </c>
      <c r="F787" s="8" t="s">
        <v>2847</v>
      </c>
      <c r="G787" t="str">
        <f t="shared" si="86"/>
        <v>(4710,</v>
      </c>
      <c r="H787" t="str">
        <f t="shared" si="87"/>
        <v>306,</v>
      </c>
      <c r="I787" t="str">
        <f t="shared" si="88"/>
        <v>'META',</v>
      </c>
      <c r="J787" t="str">
        <f t="shared" si="89"/>
        <v>505.17,</v>
      </c>
      <c r="K787" t="str">
        <f t="shared" si="90"/>
        <v>'BUY',</v>
      </c>
      <c r="L787" t="str">
        <f t="shared" si="91"/>
        <v>'2024-03-22 22:15:00'),</v>
      </c>
      <c r="M787" t="str">
        <f t="shared" si="92"/>
        <v>(4710,306,'META',505.17,'BUY','2024-03-22 22:15:00'),</v>
      </c>
    </row>
    <row r="788" spans="1:13" x14ac:dyDescent="0.2">
      <c r="A788">
        <v>7938</v>
      </c>
      <c r="B788">
        <v>200</v>
      </c>
      <c r="C788" t="s">
        <v>1066</v>
      </c>
      <c r="D788" t="s">
        <v>1851</v>
      </c>
      <c r="E788" t="s">
        <v>1068</v>
      </c>
      <c r="F788" s="8" t="s">
        <v>2848</v>
      </c>
      <c r="G788" t="str">
        <f t="shared" si="86"/>
        <v>(7938,</v>
      </c>
      <c r="H788" t="str">
        <f t="shared" si="87"/>
        <v>200,</v>
      </c>
      <c r="I788" t="str">
        <f t="shared" si="88"/>
        <v>'AMZN',</v>
      </c>
      <c r="J788" t="str">
        <f t="shared" si="89"/>
        <v>545.12,</v>
      </c>
      <c r="K788" t="str">
        <f t="shared" si="90"/>
        <v>'BUY',</v>
      </c>
      <c r="L788" t="str">
        <f t="shared" si="91"/>
        <v>'2024-02-14 09:00:00'),</v>
      </c>
      <c r="M788" t="str">
        <f t="shared" si="92"/>
        <v>(7938,200,'AMZN',545.12,'BUY','2024-02-14 09:00:00'),</v>
      </c>
    </row>
    <row r="789" spans="1:13" x14ac:dyDescent="0.2">
      <c r="A789">
        <v>7938</v>
      </c>
      <c r="B789">
        <v>657</v>
      </c>
      <c r="C789" t="s">
        <v>1069</v>
      </c>
      <c r="D789" t="s">
        <v>1852</v>
      </c>
      <c r="E789" t="s">
        <v>1062</v>
      </c>
      <c r="F789" s="8" t="s">
        <v>2849</v>
      </c>
      <c r="G789" t="str">
        <f t="shared" si="86"/>
        <v>(7938,</v>
      </c>
      <c r="H789" t="str">
        <f t="shared" si="87"/>
        <v>657,</v>
      </c>
      <c r="I789" t="str">
        <f t="shared" si="88"/>
        <v>'MSFT',</v>
      </c>
      <c r="J789" t="str">
        <f t="shared" si="89"/>
        <v>384.99,</v>
      </c>
      <c r="K789" t="str">
        <f t="shared" si="90"/>
        <v>'SELL',</v>
      </c>
      <c r="L789" t="str">
        <f t="shared" si="91"/>
        <v>'2024-01-13 07:18:00'),</v>
      </c>
      <c r="M789" t="str">
        <f t="shared" si="92"/>
        <v>(7938,657,'MSFT',384.99,'SELL','2024-01-13 07:18:00'),</v>
      </c>
    </row>
    <row r="790" spans="1:13" x14ac:dyDescent="0.2">
      <c r="A790">
        <v>4168</v>
      </c>
      <c r="B790">
        <v>614</v>
      </c>
      <c r="C790" t="s">
        <v>1060</v>
      </c>
      <c r="D790" t="s">
        <v>1853</v>
      </c>
      <c r="E790" t="s">
        <v>1068</v>
      </c>
      <c r="F790" s="8" t="s">
        <v>2850</v>
      </c>
      <c r="G790" t="str">
        <f t="shared" si="86"/>
        <v>(4168,</v>
      </c>
      <c r="H790" t="str">
        <f t="shared" si="87"/>
        <v>614,</v>
      </c>
      <c r="I790" t="str">
        <f t="shared" si="88"/>
        <v>'TSLA',</v>
      </c>
      <c r="J790" t="str">
        <f t="shared" si="89"/>
        <v>375.34,</v>
      </c>
      <c r="K790" t="str">
        <f t="shared" si="90"/>
        <v>'BUY',</v>
      </c>
      <c r="L790" t="str">
        <f t="shared" si="91"/>
        <v>'2024-02-27 23:01:00'),</v>
      </c>
      <c r="M790" t="str">
        <f t="shared" si="92"/>
        <v>(4168,614,'TSLA',375.34,'BUY','2024-02-27 23:01:00'),</v>
      </c>
    </row>
    <row r="791" spans="1:13" x14ac:dyDescent="0.2">
      <c r="A791">
        <v>2941</v>
      </c>
      <c r="B791">
        <v>635</v>
      </c>
      <c r="C791" t="s">
        <v>1063</v>
      </c>
      <c r="D791" t="s">
        <v>1854</v>
      </c>
      <c r="E791" t="s">
        <v>1062</v>
      </c>
      <c r="F791" s="8" t="s">
        <v>2851</v>
      </c>
      <c r="G791" t="str">
        <f t="shared" si="86"/>
        <v>(2941,</v>
      </c>
      <c r="H791" t="str">
        <f t="shared" si="87"/>
        <v>635,</v>
      </c>
      <c r="I791" t="str">
        <f t="shared" si="88"/>
        <v>'META',</v>
      </c>
      <c r="J791" t="str">
        <f t="shared" si="89"/>
        <v>211.66,</v>
      </c>
      <c r="K791" t="str">
        <f t="shared" si="90"/>
        <v>'SELL',</v>
      </c>
      <c r="L791" t="str">
        <f t="shared" si="91"/>
        <v>'2024-01-01 03:09:00'),</v>
      </c>
      <c r="M791" t="str">
        <f t="shared" si="92"/>
        <v>(2941,635,'META',211.66,'SELL','2024-01-01 03:09:00'),</v>
      </c>
    </row>
    <row r="792" spans="1:13" x14ac:dyDescent="0.2">
      <c r="A792">
        <v>4710</v>
      </c>
      <c r="B792">
        <v>697</v>
      </c>
      <c r="C792" t="s">
        <v>1063</v>
      </c>
      <c r="D792" t="s">
        <v>1855</v>
      </c>
      <c r="E792" t="s">
        <v>1062</v>
      </c>
      <c r="F792" s="8" t="s">
        <v>2852</v>
      </c>
      <c r="G792" t="str">
        <f t="shared" si="86"/>
        <v>(4710,</v>
      </c>
      <c r="H792" t="str">
        <f t="shared" si="87"/>
        <v>697,</v>
      </c>
      <c r="I792" t="str">
        <f t="shared" si="88"/>
        <v>'META',</v>
      </c>
      <c r="J792" t="str">
        <f t="shared" si="89"/>
        <v>852.59,</v>
      </c>
      <c r="K792" t="str">
        <f t="shared" si="90"/>
        <v>'SELL',</v>
      </c>
      <c r="L792" t="str">
        <f t="shared" si="91"/>
        <v>'2024-05-08 12:30:00'),</v>
      </c>
      <c r="M792" t="str">
        <f t="shared" si="92"/>
        <v>(4710,697,'META',852.59,'SELL','2024-05-08 12:30:00'),</v>
      </c>
    </row>
    <row r="793" spans="1:13" x14ac:dyDescent="0.2">
      <c r="A793">
        <v>9094</v>
      </c>
      <c r="B793">
        <v>158</v>
      </c>
      <c r="C793" t="s">
        <v>1063</v>
      </c>
      <c r="D793" t="s">
        <v>1856</v>
      </c>
      <c r="E793" t="s">
        <v>1062</v>
      </c>
      <c r="F793" s="8" t="s">
        <v>2853</v>
      </c>
      <c r="G793" t="str">
        <f t="shared" si="86"/>
        <v>(9094,</v>
      </c>
      <c r="H793" t="str">
        <f t="shared" si="87"/>
        <v>158,</v>
      </c>
      <c r="I793" t="str">
        <f t="shared" si="88"/>
        <v>'META',</v>
      </c>
      <c r="J793" t="str">
        <f t="shared" si="89"/>
        <v>353.62,</v>
      </c>
      <c r="K793" t="str">
        <f t="shared" si="90"/>
        <v>'SELL',</v>
      </c>
      <c r="L793" t="str">
        <f t="shared" si="91"/>
        <v>'2024-05-01 15:50:00'),</v>
      </c>
      <c r="M793" t="str">
        <f t="shared" si="92"/>
        <v>(9094,158,'META',353.62,'SELL','2024-05-01 15:50:00'),</v>
      </c>
    </row>
    <row r="794" spans="1:13" x14ac:dyDescent="0.2">
      <c r="A794">
        <v>7922</v>
      </c>
      <c r="B794">
        <v>327</v>
      </c>
      <c r="C794" t="s">
        <v>1066</v>
      </c>
      <c r="D794" t="s">
        <v>1857</v>
      </c>
      <c r="E794" t="s">
        <v>1068</v>
      </c>
      <c r="F794" s="8" t="s">
        <v>2854</v>
      </c>
      <c r="G794" t="str">
        <f t="shared" si="86"/>
        <v>(7922,</v>
      </c>
      <c r="H794" t="str">
        <f t="shared" si="87"/>
        <v>327,</v>
      </c>
      <c r="I794" t="str">
        <f t="shared" si="88"/>
        <v>'AMZN',</v>
      </c>
      <c r="J794" t="str">
        <f t="shared" si="89"/>
        <v>411.79,</v>
      </c>
      <c r="K794" t="str">
        <f t="shared" si="90"/>
        <v>'BUY',</v>
      </c>
      <c r="L794" t="str">
        <f t="shared" si="91"/>
        <v>'2024-05-19 08:17:00'),</v>
      </c>
      <c r="M794" t="str">
        <f t="shared" si="92"/>
        <v>(7922,327,'AMZN',411.79,'BUY','2024-05-19 08:17:00'),</v>
      </c>
    </row>
    <row r="795" spans="1:13" x14ac:dyDescent="0.2">
      <c r="A795">
        <v>9094</v>
      </c>
      <c r="B795">
        <v>529</v>
      </c>
      <c r="C795" t="s">
        <v>1069</v>
      </c>
      <c r="D795" t="s">
        <v>1858</v>
      </c>
      <c r="E795" t="s">
        <v>1062</v>
      </c>
      <c r="F795" s="8" t="s">
        <v>2855</v>
      </c>
      <c r="G795" t="str">
        <f t="shared" si="86"/>
        <v>(9094,</v>
      </c>
      <c r="H795" t="str">
        <f t="shared" si="87"/>
        <v>529,</v>
      </c>
      <c r="I795" t="str">
        <f t="shared" si="88"/>
        <v>'MSFT',</v>
      </c>
      <c r="J795" t="str">
        <f t="shared" si="89"/>
        <v>276.42,</v>
      </c>
      <c r="K795" t="str">
        <f t="shared" si="90"/>
        <v>'SELL',</v>
      </c>
      <c r="L795" t="str">
        <f t="shared" si="91"/>
        <v>'2024-05-01 22:48:00'),</v>
      </c>
      <c r="M795" t="str">
        <f t="shared" si="92"/>
        <v>(9094,529,'MSFT',276.42,'SELL','2024-05-01 22:48:00'),</v>
      </c>
    </row>
    <row r="796" spans="1:13" x14ac:dyDescent="0.2">
      <c r="A796">
        <v>1691</v>
      </c>
      <c r="B796">
        <v>487</v>
      </c>
      <c r="C796" t="s">
        <v>1063</v>
      </c>
      <c r="D796" t="s">
        <v>1859</v>
      </c>
      <c r="E796" t="s">
        <v>1062</v>
      </c>
      <c r="F796" s="8" t="s">
        <v>2856</v>
      </c>
      <c r="G796" t="str">
        <f t="shared" si="86"/>
        <v>(1691,</v>
      </c>
      <c r="H796" t="str">
        <f t="shared" si="87"/>
        <v>487,</v>
      </c>
      <c r="I796" t="str">
        <f t="shared" si="88"/>
        <v>'META',</v>
      </c>
      <c r="J796" t="str">
        <f t="shared" si="89"/>
        <v>523.7,</v>
      </c>
      <c r="K796" t="str">
        <f t="shared" si="90"/>
        <v>'SELL',</v>
      </c>
      <c r="L796" t="str">
        <f t="shared" si="91"/>
        <v>'2024-03-08 06:03:00'),</v>
      </c>
      <c r="M796" t="str">
        <f t="shared" si="92"/>
        <v>(1691,487,'META',523.7,'SELL','2024-03-08 06:03:00'),</v>
      </c>
    </row>
    <row r="797" spans="1:13" x14ac:dyDescent="0.2">
      <c r="A797">
        <v>6298</v>
      </c>
      <c r="B797">
        <v>385</v>
      </c>
      <c r="C797" t="s">
        <v>1069</v>
      </c>
      <c r="D797" t="s">
        <v>1860</v>
      </c>
      <c r="E797" t="s">
        <v>1068</v>
      </c>
      <c r="F797" s="8" t="s">
        <v>2857</v>
      </c>
      <c r="G797" t="str">
        <f t="shared" si="86"/>
        <v>(6298,</v>
      </c>
      <c r="H797" t="str">
        <f t="shared" si="87"/>
        <v>385,</v>
      </c>
      <c r="I797" t="str">
        <f t="shared" si="88"/>
        <v>'MSFT',</v>
      </c>
      <c r="J797" t="str">
        <f t="shared" si="89"/>
        <v>219.42,</v>
      </c>
      <c r="K797" t="str">
        <f t="shared" si="90"/>
        <v>'BUY',</v>
      </c>
      <c r="L797" t="str">
        <f t="shared" si="91"/>
        <v>'2024-02-09 06:00:00'),</v>
      </c>
      <c r="M797" t="str">
        <f t="shared" si="92"/>
        <v>(6298,385,'MSFT',219.42,'BUY','2024-02-09 06:00:00'),</v>
      </c>
    </row>
    <row r="798" spans="1:13" x14ac:dyDescent="0.2">
      <c r="A798">
        <v>2941</v>
      </c>
      <c r="B798">
        <v>939</v>
      </c>
      <c r="C798" t="s">
        <v>1069</v>
      </c>
      <c r="D798" t="s">
        <v>1861</v>
      </c>
      <c r="E798" t="s">
        <v>1062</v>
      </c>
      <c r="F798" s="8" t="s">
        <v>2858</v>
      </c>
      <c r="G798" t="str">
        <f t="shared" si="86"/>
        <v>(2941,</v>
      </c>
      <c r="H798" t="str">
        <f t="shared" si="87"/>
        <v>939,</v>
      </c>
      <c r="I798" t="str">
        <f t="shared" si="88"/>
        <v>'MSFT',</v>
      </c>
      <c r="J798" t="str">
        <f t="shared" si="89"/>
        <v>980.26,</v>
      </c>
      <c r="K798" t="str">
        <f t="shared" si="90"/>
        <v>'SELL',</v>
      </c>
      <c r="L798" t="str">
        <f t="shared" si="91"/>
        <v>'2024-01-16 02:20:00'),</v>
      </c>
      <c r="M798" t="str">
        <f t="shared" si="92"/>
        <v>(2941,939,'MSFT',980.26,'SELL','2024-01-16 02:20:00'),</v>
      </c>
    </row>
    <row r="799" spans="1:13" x14ac:dyDescent="0.2">
      <c r="A799">
        <v>5705</v>
      </c>
      <c r="B799">
        <v>682</v>
      </c>
      <c r="C799" t="s">
        <v>1066</v>
      </c>
      <c r="D799" t="s">
        <v>1862</v>
      </c>
      <c r="E799" t="s">
        <v>1062</v>
      </c>
      <c r="F799" s="8" t="s">
        <v>2859</v>
      </c>
      <c r="G799" t="str">
        <f t="shared" si="86"/>
        <v>(5705,</v>
      </c>
      <c r="H799" t="str">
        <f t="shared" si="87"/>
        <v>682,</v>
      </c>
      <c r="I799" t="str">
        <f t="shared" si="88"/>
        <v>'AMZN',</v>
      </c>
      <c r="J799" t="str">
        <f t="shared" si="89"/>
        <v>639.16,</v>
      </c>
      <c r="K799" t="str">
        <f t="shared" si="90"/>
        <v>'SELL',</v>
      </c>
      <c r="L799" t="str">
        <f t="shared" si="91"/>
        <v>'2024-03-30 07:03:00'),</v>
      </c>
      <c r="M799" t="str">
        <f t="shared" si="92"/>
        <v>(5705,682,'AMZN',639.16,'SELL','2024-03-30 07:03:00'),</v>
      </c>
    </row>
    <row r="800" spans="1:13" x14ac:dyDescent="0.2">
      <c r="A800">
        <v>2941</v>
      </c>
      <c r="B800">
        <v>60</v>
      </c>
      <c r="C800" t="s">
        <v>1069</v>
      </c>
      <c r="D800" t="s">
        <v>1863</v>
      </c>
      <c r="E800" t="s">
        <v>1062</v>
      </c>
      <c r="F800" s="8" t="s">
        <v>2860</v>
      </c>
      <c r="G800" t="str">
        <f t="shared" si="86"/>
        <v>(2941,</v>
      </c>
      <c r="H800" t="str">
        <f t="shared" si="87"/>
        <v>60,</v>
      </c>
      <c r="I800" t="str">
        <f t="shared" si="88"/>
        <v>'MSFT',</v>
      </c>
      <c r="J800" t="str">
        <f t="shared" si="89"/>
        <v>203.59,</v>
      </c>
      <c r="K800" t="str">
        <f t="shared" si="90"/>
        <v>'SELL',</v>
      </c>
      <c r="L800" t="str">
        <f t="shared" si="91"/>
        <v>'2024-03-03 22:23:00'),</v>
      </c>
      <c r="M800" t="str">
        <f t="shared" si="92"/>
        <v>(2941,60,'MSFT',203.59,'SELL','2024-03-03 22:23:00'),</v>
      </c>
    </row>
    <row r="801" spans="1:13" x14ac:dyDescent="0.2">
      <c r="A801">
        <v>5258</v>
      </c>
      <c r="B801">
        <v>364</v>
      </c>
      <c r="C801" t="s">
        <v>1069</v>
      </c>
      <c r="D801" t="s">
        <v>1864</v>
      </c>
      <c r="E801" t="s">
        <v>1062</v>
      </c>
      <c r="F801" s="8" t="s">
        <v>2861</v>
      </c>
      <c r="G801" t="str">
        <f t="shared" si="86"/>
        <v>(5258,</v>
      </c>
      <c r="H801" t="str">
        <f t="shared" si="87"/>
        <v>364,</v>
      </c>
      <c r="I801" t="str">
        <f t="shared" si="88"/>
        <v>'MSFT',</v>
      </c>
      <c r="J801" t="str">
        <f t="shared" si="89"/>
        <v>565.67,</v>
      </c>
      <c r="K801" t="str">
        <f t="shared" si="90"/>
        <v>'SELL',</v>
      </c>
      <c r="L801" t="str">
        <f t="shared" si="91"/>
        <v>'2024-01-18 12:03:00'),</v>
      </c>
      <c r="M801" t="str">
        <f t="shared" si="92"/>
        <v>(5258,364,'MSFT',565.67,'SELL','2024-01-18 12:03:00'),</v>
      </c>
    </row>
    <row r="802" spans="1:13" x14ac:dyDescent="0.2">
      <c r="A802">
        <v>7922</v>
      </c>
      <c r="B802">
        <v>734</v>
      </c>
      <c r="C802" t="s">
        <v>1060</v>
      </c>
      <c r="D802" t="s">
        <v>1865</v>
      </c>
      <c r="E802" t="s">
        <v>1068</v>
      </c>
      <c r="F802" s="8" t="s">
        <v>2862</v>
      </c>
      <c r="G802" t="str">
        <f t="shared" si="86"/>
        <v>(7922,</v>
      </c>
      <c r="H802" t="str">
        <f t="shared" si="87"/>
        <v>734,</v>
      </c>
      <c r="I802" t="str">
        <f t="shared" si="88"/>
        <v>'TSLA',</v>
      </c>
      <c r="J802" t="str">
        <f t="shared" si="89"/>
        <v>682.61,</v>
      </c>
      <c r="K802" t="str">
        <f t="shared" si="90"/>
        <v>'BUY',</v>
      </c>
      <c r="L802" t="str">
        <f t="shared" si="91"/>
        <v>'2024-01-03 17:14:00'),</v>
      </c>
      <c r="M802" t="str">
        <f t="shared" si="92"/>
        <v>(7922,734,'TSLA',682.61,'BUY','2024-01-03 17:14:00'),</v>
      </c>
    </row>
    <row r="803" spans="1:13" x14ac:dyDescent="0.2">
      <c r="A803">
        <v>9094</v>
      </c>
      <c r="B803">
        <v>293</v>
      </c>
      <c r="C803" t="s">
        <v>1060</v>
      </c>
      <c r="D803" t="s">
        <v>1866</v>
      </c>
      <c r="E803" t="s">
        <v>1068</v>
      </c>
      <c r="F803" s="8" t="s">
        <v>2863</v>
      </c>
      <c r="G803" t="str">
        <f t="shared" si="86"/>
        <v>(9094,</v>
      </c>
      <c r="H803" t="str">
        <f t="shared" si="87"/>
        <v>293,</v>
      </c>
      <c r="I803" t="str">
        <f t="shared" si="88"/>
        <v>'TSLA',</v>
      </c>
      <c r="J803" t="str">
        <f t="shared" si="89"/>
        <v>255.31,</v>
      </c>
      <c r="K803" t="str">
        <f t="shared" si="90"/>
        <v>'BUY',</v>
      </c>
      <c r="L803" t="str">
        <f t="shared" si="91"/>
        <v>'2024-04-30 07:18:00'),</v>
      </c>
      <c r="M803" t="str">
        <f t="shared" si="92"/>
        <v>(9094,293,'TSLA',255.31,'BUY','2024-04-30 07:18:00'),</v>
      </c>
    </row>
    <row r="804" spans="1:13" x14ac:dyDescent="0.2">
      <c r="A804">
        <v>9094</v>
      </c>
      <c r="B804">
        <v>299</v>
      </c>
      <c r="C804" t="s">
        <v>1066</v>
      </c>
      <c r="D804" t="s">
        <v>1867</v>
      </c>
      <c r="E804" t="s">
        <v>1068</v>
      </c>
      <c r="F804" s="8" t="s">
        <v>2864</v>
      </c>
      <c r="G804" t="str">
        <f t="shared" si="86"/>
        <v>(9094,</v>
      </c>
      <c r="H804" t="str">
        <f t="shared" si="87"/>
        <v>299,</v>
      </c>
      <c r="I804" t="str">
        <f t="shared" si="88"/>
        <v>'AMZN',</v>
      </c>
      <c r="J804" t="str">
        <f t="shared" si="89"/>
        <v>157.55,</v>
      </c>
      <c r="K804" t="str">
        <f t="shared" si="90"/>
        <v>'BUY',</v>
      </c>
      <c r="L804" t="str">
        <f t="shared" si="91"/>
        <v>'2024-03-01 04:07:00'),</v>
      </c>
      <c r="M804" t="str">
        <f t="shared" si="92"/>
        <v>(9094,299,'AMZN',157.55,'BUY','2024-03-01 04:07:00'),</v>
      </c>
    </row>
    <row r="805" spans="1:13" x14ac:dyDescent="0.2">
      <c r="A805">
        <v>7531</v>
      </c>
      <c r="B805">
        <v>262</v>
      </c>
      <c r="C805" t="s">
        <v>1069</v>
      </c>
      <c r="D805" t="s">
        <v>1868</v>
      </c>
      <c r="E805" t="s">
        <v>1068</v>
      </c>
      <c r="F805" s="8" t="s">
        <v>2865</v>
      </c>
      <c r="G805" t="str">
        <f t="shared" si="86"/>
        <v>(7531,</v>
      </c>
      <c r="H805" t="str">
        <f t="shared" si="87"/>
        <v>262,</v>
      </c>
      <c r="I805" t="str">
        <f t="shared" si="88"/>
        <v>'MSFT',</v>
      </c>
      <c r="J805" t="str">
        <f t="shared" si="89"/>
        <v>203.32,</v>
      </c>
      <c r="K805" t="str">
        <f t="shared" si="90"/>
        <v>'BUY',</v>
      </c>
      <c r="L805" t="str">
        <f t="shared" si="91"/>
        <v>'2024-01-20 15:53:00'),</v>
      </c>
      <c r="M805" t="str">
        <f t="shared" si="92"/>
        <v>(7531,262,'MSFT',203.32,'BUY','2024-01-20 15:53:00'),</v>
      </c>
    </row>
    <row r="806" spans="1:13" x14ac:dyDescent="0.2">
      <c r="A806">
        <v>9952</v>
      </c>
      <c r="B806">
        <v>238</v>
      </c>
      <c r="C806" t="s">
        <v>1069</v>
      </c>
      <c r="D806" t="s">
        <v>1869</v>
      </c>
      <c r="E806" t="s">
        <v>1062</v>
      </c>
      <c r="F806" s="8" t="s">
        <v>2866</v>
      </c>
      <c r="G806" t="str">
        <f t="shared" si="86"/>
        <v>(9952,</v>
      </c>
      <c r="H806" t="str">
        <f t="shared" si="87"/>
        <v>238,</v>
      </c>
      <c r="I806" t="str">
        <f t="shared" si="88"/>
        <v>'MSFT',</v>
      </c>
      <c r="J806" t="str">
        <f t="shared" si="89"/>
        <v>644.44,</v>
      </c>
      <c r="K806" t="str">
        <f t="shared" si="90"/>
        <v>'SELL',</v>
      </c>
      <c r="L806" t="str">
        <f t="shared" si="91"/>
        <v>'2024-01-03 11:05:00'),</v>
      </c>
      <c r="M806" t="str">
        <f t="shared" si="92"/>
        <v>(9952,238,'MSFT',644.44,'SELL','2024-01-03 11:05:00'),</v>
      </c>
    </row>
    <row r="807" spans="1:13" x14ac:dyDescent="0.2">
      <c r="A807">
        <v>5705</v>
      </c>
      <c r="B807">
        <v>776</v>
      </c>
      <c r="C807" t="s">
        <v>1060</v>
      </c>
      <c r="D807" t="s">
        <v>1870</v>
      </c>
      <c r="E807" t="s">
        <v>1068</v>
      </c>
      <c r="F807" s="8" t="s">
        <v>2867</v>
      </c>
      <c r="G807" t="str">
        <f t="shared" si="86"/>
        <v>(5705,</v>
      </c>
      <c r="H807" t="str">
        <f t="shared" si="87"/>
        <v>776,</v>
      </c>
      <c r="I807" t="str">
        <f t="shared" si="88"/>
        <v>'TSLA',</v>
      </c>
      <c r="J807" t="str">
        <f t="shared" si="89"/>
        <v>569.59,</v>
      </c>
      <c r="K807" t="str">
        <f t="shared" si="90"/>
        <v>'BUY',</v>
      </c>
      <c r="L807" t="str">
        <f t="shared" si="91"/>
        <v>'2024-05-21 08:39:00'),</v>
      </c>
      <c r="M807" t="str">
        <f t="shared" si="92"/>
        <v>(5705,776,'TSLA',569.59,'BUY','2024-05-21 08:39:00'),</v>
      </c>
    </row>
    <row r="808" spans="1:13" x14ac:dyDescent="0.2">
      <c r="A808">
        <v>4168</v>
      </c>
      <c r="B808">
        <v>489</v>
      </c>
      <c r="C808" t="s">
        <v>1066</v>
      </c>
      <c r="D808" t="s">
        <v>1871</v>
      </c>
      <c r="E808" t="s">
        <v>1062</v>
      </c>
      <c r="F808" s="8" t="s">
        <v>2868</v>
      </c>
      <c r="G808" t="str">
        <f t="shared" si="86"/>
        <v>(4168,</v>
      </c>
      <c r="H808" t="str">
        <f t="shared" si="87"/>
        <v>489,</v>
      </c>
      <c r="I808" t="str">
        <f t="shared" si="88"/>
        <v>'AMZN',</v>
      </c>
      <c r="J808" t="str">
        <f t="shared" si="89"/>
        <v>891.36,</v>
      </c>
      <c r="K808" t="str">
        <f t="shared" si="90"/>
        <v>'SELL',</v>
      </c>
      <c r="L808" t="str">
        <f t="shared" si="91"/>
        <v>'2024-05-13 23:01:00'),</v>
      </c>
      <c r="M808" t="str">
        <f t="shared" si="92"/>
        <v>(4168,489,'AMZN',891.36,'SELL','2024-05-13 23:01:00'),</v>
      </c>
    </row>
    <row r="809" spans="1:13" x14ac:dyDescent="0.2">
      <c r="A809">
        <v>6298</v>
      </c>
      <c r="B809">
        <v>53</v>
      </c>
      <c r="C809" t="s">
        <v>1066</v>
      </c>
      <c r="D809" t="s">
        <v>1872</v>
      </c>
      <c r="E809" t="s">
        <v>1062</v>
      </c>
      <c r="F809" s="8" t="s">
        <v>2869</v>
      </c>
      <c r="G809" t="str">
        <f t="shared" si="86"/>
        <v>(6298,</v>
      </c>
      <c r="H809" t="str">
        <f t="shared" si="87"/>
        <v>53,</v>
      </c>
      <c r="I809" t="str">
        <f t="shared" si="88"/>
        <v>'AMZN',</v>
      </c>
      <c r="J809" t="str">
        <f t="shared" si="89"/>
        <v>315.46,</v>
      </c>
      <c r="K809" t="str">
        <f t="shared" si="90"/>
        <v>'SELL',</v>
      </c>
      <c r="L809" t="str">
        <f t="shared" si="91"/>
        <v>'2024-02-13 08:59:00'),</v>
      </c>
      <c r="M809" t="str">
        <f t="shared" si="92"/>
        <v>(6298,53,'AMZN',315.46,'SELL','2024-02-13 08:59:00'),</v>
      </c>
    </row>
    <row r="810" spans="1:13" x14ac:dyDescent="0.2">
      <c r="A810">
        <v>5751</v>
      </c>
      <c r="B810">
        <v>491</v>
      </c>
      <c r="C810" t="s">
        <v>1060</v>
      </c>
      <c r="D810" t="s">
        <v>1873</v>
      </c>
      <c r="E810" t="s">
        <v>1062</v>
      </c>
      <c r="F810" s="8" t="s">
        <v>2870</v>
      </c>
      <c r="G810" t="str">
        <f t="shared" si="86"/>
        <v>(5751,</v>
      </c>
      <c r="H810" t="str">
        <f t="shared" si="87"/>
        <v>491,</v>
      </c>
      <c r="I810" t="str">
        <f t="shared" si="88"/>
        <v>'TSLA',</v>
      </c>
      <c r="J810" t="str">
        <f t="shared" si="89"/>
        <v>652.18,</v>
      </c>
      <c r="K810" t="str">
        <f t="shared" si="90"/>
        <v>'SELL',</v>
      </c>
      <c r="L810" t="str">
        <f t="shared" si="91"/>
        <v>'2024-04-21 19:48:00'),</v>
      </c>
      <c r="M810" t="str">
        <f t="shared" si="92"/>
        <v>(5751,491,'TSLA',652.18,'SELL','2024-04-21 19:48:00'),</v>
      </c>
    </row>
    <row r="811" spans="1:13" x14ac:dyDescent="0.2">
      <c r="A811">
        <v>4669</v>
      </c>
      <c r="B811">
        <v>222</v>
      </c>
      <c r="C811" t="s">
        <v>1069</v>
      </c>
      <c r="D811" t="s">
        <v>1874</v>
      </c>
      <c r="E811" t="s">
        <v>1068</v>
      </c>
      <c r="F811" s="8" t="s">
        <v>2871</v>
      </c>
      <c r="G811" t="str">
        <f t="shared" si="86"/>
        <v>(4669,</v>
      </c>
      <c r="H811" t="str">
        <f t="shared" si="87"/>
        <v>222,</v>
      </c>
      <c r="I811" t="str">
        <f t="shared" si="88"/>
        <v>'MSFT',</v>
      </c>
      <c r="J811" t="str">
        <f t="shared" si="89"/>
        <v>989.03,</v>
      </c>
      <c r="K811" t="str">
        <f t="shared" si="90"/>
        <v>'BUY',</v>
      </c>
      <c r="L811" t="str">
        <f t="shared" si="91"/>
        <v>'2024-04-23 00:39:00'),</v>
      </c>
      <c r="M811" t="str">
        <f t="shared" si="92"/>
        <v>(4669,222,'MSFT',989.03,'BUY','2024-04-23 00:39:00'),</v>
      </c>
    </row>
    <row r="812" spans="1:13" x14ac:dyDescent="0.2">
      <c r="A812">
        <v>2941</v>
      </c>
      <c r="B812">
        <v>535</v>
      </c>
      <c r="C812" t="s">
        <v>1063</v>
      </c>
      <c r="D812" t="s">
        <v>1875</v>
      </c>
      <c r="E812" t="s">
        <v>1062</v>
      </c>
      <c r="F812" s="8" t="s">
        <v>2872</v>
      </c>
      <c r="G812" t="str">
        <f t="shared" si="86"/>
        <v>(2941,</v>
      </c>
      <c r="H812" t="str">
        <f t="shared" si="87"/>
        <v>535,</v>
      </c>
      <c r="I812" t="str">
        <f t="shared" si="88"/>
        <v>'META',</v>
      </c>
      <c r="J812" t="str">
        <f t="shared" si="89"/>
        <v>588.38,</v>
      </c>
      <c r="K812" t="str">
        <f t="shared" si="90"/>
        <v>'SELL',</v>
      </c>
      <c r="L812" t="str">
        <f t="shared" si="91"/>
        <v>'2024-01-30 11:28:00'),</v>
      </c>
      <c r="M812" t="str">
        <f t="shared" si="92"/>
        <v>(2941,535,'META',588.38,'SELL','2024-01-30 11:28:00'),</v>
      </c>
    </row>
    <row r="813" spans="1:13" x14ac:dyDescent="0.2">
      <c r="A813">
        <v>5705</v>
      </c>
      <c r="B813">
        <v>470</v>
      </c>
      <c r="C813" t="s">
        <v>1060</v>
      </c>
      <c r="D813" t="s">
        <v>1876</v>
      </c>
      <c r="E813" t="s">
        <v>1062</v>
      </c>
      <c r="F813" s="8" t="s">
        <v>2873</v>
      </c>
      <c r="G813" t="str">
        <f t="shared" si="86"/>
        <v>(5705,</v>
      </c>
      <c r="H813" t="str">
        <f t="shared" si="87"/>
        <v>470,</v>
      </c>
      <c r="I813" t="str">
        <f t="shared" si="88"/>
        <v>'TSLA',</v>
      </c>
      <c r="J813" t="str">
        <f t="shared" si="89"/>
        <v>740.72,</v>
      </c>
      <c r="K813" t="str">
        <f t="shared" si="90"/>
        <v>'SELL',</v>
      </c>
      <c r="L813" t="str">
        <f t="shared" si="91"/>
        <v>'2024-03-26 03:24:00'),</v>
      </c>
      <c r="M813" t="str">
        <f t="shared" si="92"/>
        <v>(5705,470,'TSLA',740.72,'SELL','2024-03-26 03:24:00'),</v>
      </c>
    </row>
    <row r="814" spans="1:13" x14ac:dyDescent="0.2">
      <c r="A814">
        <v>5705</v>
      </c>
      <c r="B814">
        <v>608</v>
      </c>
      <c r="C814" t="s">
        <v>1060</v>
      </c>
      <c r="D814" t="s">
        <v>1877</v>
      </c>
      <c r="E814" t="s">
        <v>1068</v>
      </c>
      <c r="F814" s="8" t="s">
        <v>2874</v>
      </c>
      <c r="G814" t="str">
        <f t="shared" si="86"/>
        <v>(5705,</v>
      </c>
      <c r="H814" t="str">
        <f t="shared" si="87"/>
        <v>608,</v>
      </c>
      <c r="I814" t="str">
        <f t="shared" si="88"/>
        <v>'TSLA',</v>
      </c>
      <c r="J814" t="str">
        <f t="shared" si="89"/>
        <v>599.29,</v>
      </c>
      <c r="K814" t="str">
        <f t="shared" si="90"/>
        <v>'BUY',</v>
      </c>
      <c r="L814" t="str">
        <f t="shared" si="91"/>
        <v>'2024-01-26 19:49:00'),</v>
      </c>
      <c r="M814" t="str">
        <f t="shared" si="92"/>
        <v>(5705,608,'TSLA',599.29,'BUY','2024-01-26 19:49:00'),</v>
      </c>
    </row>
    <row r="815" spans="1:13" x14ac:dyDescent="0.2">
      <c r="A815">
        <v>9094</v>
      </c>
      <c r="B815">
        <v>237</v>
      </c>
      <c r="C815" t="s">
        <v>1060</v>
      </c>
      <c r="D815" t="s">
        <v>1878</v>
      </c>
      <c r="E815" t="s">
        <v>1062</v>
      </c>
      <c r="F815" s="8" t="s">
        <v>2875</v>
      </c>
      <c r="G815" t="str">
        <f t="shared" si="86"/>
        <v>(9094,</v>
      </c>
      <c r="H815" t="str">
        <f t="shared" si="87"/>
        <v>237,</v>
      </c>
      <c r="I815" t="str">
        <f t="shared" si="88"/>
        <v>'TSLA',</v>
      </c>
      <c r="J815" t="str">
        <f t="shared" si="89"/>
        <v>347.92,</v>
      </c>
      <c r="K815" t="str">
        <f t="shared" si="90"/>
        <v>'SELL',</v>
      </c>
      <c r="L815" t="str">
        <f t="shared" si="91"/>
        <v>'2024-01-19 20:46:00'),</v>
      </c>
      <c r="M815" t="str">
        <f t="shared" si="92"/>
        <v>(9094,237,'TSLA',347.92,'SELL','2024-01-19 20:46:00'),</v>
      </c>
    </row>
    <row r="816" spans="1:13" x14ac:dyDescent="0.2">
      <c r="A816">
        <v>7531</v>
      </c>
      <c r="B816">
        <v>290</v>
      </c>
      <c r="C816" t="s">
        <v>1060</v>
      </c>
      <c r="D816" t="s">
        <v>1879</v>
      </c>
      <c r="E816" t="s">
        <v>1062</v>
      </c>
      <c r="F816" s="8" t="s">
        <v>2876</v>
      </c>
      <c r="G816" t="str">
        <f t="shared" si="86"/>
        <v>(7531,</v>
      </c>
      <c r="H816" t="str">
        <f t="shared" si="87"/>
        <v>290,</v>
      </c>
      <c r="I816" t="str">
        <f t="shared" si="88"/>
        <v>'TSLA',</v>
      </c>
      <c r="J816" t="str">
        <f t="shared" si="89"/>
        <v>347.07,</v>
      </c>
      <c r="K816" t="str">
        <f t="shared" si="90"/>
        <v>'SELL',</v>
      </c>
      <c r="L816" t="str">
        <f t="shared" si="91"/>
        <v>'2024-03-29 15:46:00'),</v>
      </c>
      <c r="M816" t="str">
        <f t="shared" si="92"/>
        <v>(7531,290,'TSLA',347.07,'SELL','2024-03-29 15:46:00'),</v>
      </c>
    </row>
    <row r="817" spans="1:13" x14ac:dyDescent="0.2">
      <c r="A817">
        <v>5751</v>
      </c>
      <c r="B817">
        <v>65</v>
      </c>
      <c r="C817" t="s">
        <v>1063</v>
      </c>
      <c r="D817" t="s">
        <v>1880</v>
      </c>
      <c r="E817" t="s">
        <v>1068</v>
      </c>
      <c r="F817" s="8" t="s">
        <v>2877</v>
      </c>
      <c r="G817" t="str">
        <f t="shared" si="86"/>
        <v>(5751,</v>
      </c>
      <c r="H817" t="str">
        <f t="shared" si="87"/>
        <v>65,</v>
      </c>
      <c r="I817" t="str">
        <f t="shared" si="88"/>
        <v>'META',</v>
      </c>
      <c r="J817" t="str">
        <f t="shared" si="89"/>
        <v>636.72,</v>
      </c>
      <c r="K817" t="str">
        <f t="shared" si="90"/>
        <v>'BUY',</v>
      </c>
      <c r="L817" t="str">
        <f t="shared" si="91"/>
        <v>'2024-02-15 00:58:00'),</v>
      </c>
      <c r="M817" t="str">
        <f t="shared" si="92"/>
        <v>(5751,65,'META',636.72,'BUY','2024-02-15 00:58:00'),</v>
      </c>
    </row>
    <row r="818" spans="1:13" x14ac:dyDescent="0.2">
      <c r="A818">
        <v>7922</v>
      </c>
      <c r="B818">
        <v>554</v>
      </c>
      <c r="C818" t="s">
        <v>1063</v>
      </c>
      <c r="D818" t="s">
        <v>1881</v>
      </c>
      <c r="E818" t="s">
        <v>1062</v>
      </c>
      <c r="F818" s="8" t="s">
        <v>2878</v>
      </c>
      <c r="G818" t="str">
        <f t="shared" si="86"/>
        <v>(7922,</v>
      </c>
      <c r="H818" t="str">
        <f t="shared" si="87"/>
        <v>554,</v>
      </c>
      <c r="I818" t="str">
        <f t="shared" si="88"/>
        <v>'META',</v>
      </c>
      <c r="J818" t="str">
        <f t="shared" si="89"/>
        <v>336.88,</v>
      </c>
      <c r="K818" t="str">
        <f t="shared" si="90"/>
        <v>'SELL',</v>
      </c>
      <c r="L818" t="str">
        <f t="shared" si="91"/>
        <v>'2024-02-09 09:17:00'),</v>
      </c>
      <c r="M818" t="str">
        <f t="shared" si="92"/>
        <v>(7922,554,'META',336.88,'SELL','2024-02-09 09:17:00'),</v>
      </c>
    </row>
    <row r="819" spans="1:13" x14ac:dyDescent="0.2">
      <c r="A819">
        <v>4669</v>
      </c>
      <c r="B819">
        <v>659</v>
      </c>
      <c r="C819" t="s">
        <v>1063</v>
      </c>
      <c r="D819" t="s">
        <v>1882</v>
      </c>
      <c r="E819" t="s">
        <v>1062</v>
      </c>
      <c r="F819" s="8" t="s">
        <v>2879</v>
      </c>
      <c r="G819" t="str">
        <f t="shared" si="86"/>
        <v>(4669,</v>
      </c>
      <c r="H819" t="str">
        <f t="shared" si="87"/>
        <v>659,</v>
      </c>
      <c r="I819" t="str">
        <f t="shared" si="88"/>
        <v>'META',</v>
      </c>
      <c r="J819" t="str">
        <f t="shared" si="89"/>
        <v>956.33,</v>
      </c>
      <c r="K819" t="str">
        <f t="shared" si="90"/>
        <v>'SELL',</v>
      </c>
      <c r="L819" t="str">
        <f t="shared" si="91"/>
        <v>'2024-03-04 15:46:00'),</v>
      </c>
      <c r="M819" t="str">
        <f t="shared" si="92"/>
        <v>(4669,659,'META',956.33,'SELL','2024-03-04 15:46:00'),</v>
      </c>
    </row>
    <row r="820" spans="1:13" x14ac:dyDescent="0.2">
      <c r="A820">
        <v>5297</v>
      </c>
      <c r="B820">
        <v>569</v>
      </c>
      <c r="C820" t="s">
        <v>1063</v>
      </c>
      <c r="D820" t="s">
        <v>1883</v>
      </c>
      <c r="E820" t="s">
        <v>1068</v>
      </c>
      <c r="F820" s="8" t="s">
        <v>2880</v>
      </c>
      <c r="G820" t="str">
        <f t="shared" si="86"/>
        <v>(5297,</v>
      </c>
      <c r="H820" t="str">
        <f t="shared" si="87"/>
        <v>569,</v>
      </c>
      <c r="I820" t="str">
        <f t="shared" si="88"/>
        <v>'META',</v>
      </c>
      <c r="J820" t="str">
        <f t="shared" si="89"/>
        <v>735.95,</v>
      </c>
      <c r="K820" t="str">
        <f t="shared" si="90"/>
        <v>'BUY',</v>
      </c>
      <c r="L820" t="str">
        <f t="shared" si="91"/>
        <v>'2024-01-13 06:14:00'),</v>
      </c>
      <c r="M820" t="str">
        <f t="shared" si="92"/>
        <v>(5297,569,'META',735.95,'BUY','2024-01-13 06:14:00'),</v>
      </c>
    </row>
    <row r="821" spans="1:13" x14ac:dyDescent="0.2">
      <c r="A821">
        <v>5751</v>
      </c>
      <c r="B821">
        <v>691</v>
      </c>
      <c r="C821" t="s">
        <v>1066</v>
      </c>
      <c r="D821" t="s">
        <v>1884</v>
      </c>
      <c r="E821" t="s">
        <v>1068</v>
      </c>
      <c r="F821" s="8" t="s">
        <v>2881</v>
      </c>
      <c r="G821" t="str">
        <f t="shared" si="86"/>
        <v>(5751,</v>
      </c>
      <c r="H821" t="str">
        <f t="shared" si="87"/>
        <v>691,</v>
      </c>
      <c r="I821" t="str">
        <f t="shared" si="88"/>
        <v>'AMZN',</v>
      </c>
      <c r="J821" t="str">
        <f t="shared" si="89"/>
        <v>326.08,</v>
      </c>
      <c r="K821" t="str">
        <f t="shared" si="90"/>
        <v>'BUY',</v>
      </c>
      <c r="L821" t="str">
        <f t="shared" si="91"/>
        <v>'2024-02-09 10:06:00'),</v>
      </c>
      <c r="M821" t="str">
        <f t="shared" si="92"/>
        <v>(5751,691,'AMZN',326.08,'BUY','2024-02-09 10:06:00'),</v>
      </c>
    </row>
    <row r="822" spans="1:13" x14ac:dyDescent="0.2">
      <c r="A822">
        <v>4168</v>
      </c>
      <c r="B822">
        <v>125</v>
      </c>
      <c r="C822" t="s">
        <v>1069</v>
      </c>
      <c r="D822" t="s">
        <v>1885</v>
      </c>
      <c r="E822" t="s">
        <v>1062</v>
      </c>
      <c r="F822" s="8" t="s">
        <v>2882</v>
      </c>
      <c r="G822" t="str">
        <f t="shared" si="86"/>
        <v>(4168,</v>
      </c>
      <c r="H822" t="str">
        <f t="shared" si="87"/>
        <v>125,</v>
      </c>
      <c r="I822" t="str">
        <f t="shared" si="88"/>
        <v>'MSFT',</v>
      </c>
      <c r="J822" t="str">
        <f t="shared" si="89"/>
        <v>961.63,</v>
      </c>
      <c r="K822" t="str">
        <f t="shared" si="90"/>
        <v>'SELL',</v>
      </c>
      <c r="L822" t="str">
        <f t="shared" si="91"/>
        <v>'2024-02-10 15:44:00'),</v>
      </c>
      <c r="M822" t="str">
        <f t="shared" si="92"/>
        <v>(4168,125,'MSFT',961.63,'SELL','2024-02-10 15:44:00'),</v>
      </c>
    </row>
    <row r="823" spans="1:13" x14ac:dyDescent="0.2">
      <c r="A823">
        <v>4168</v>
      </c>
      <c r="B823">
        <v>380</v>
      </c>
      <c r="C823" t="s">
        <v>1063</v>
      </c>
      <c r="D823" t="s">
        <v>1886</v>
      </c>
      <c r="E823" t="s">
        <v>1062</v>
      </c>
      <c r="F823" s="8" t="s">
        <v>2883</v>
      </c>
      <c r="G823" t="str">
        <f t="shared" si="86"/>
        <v>(4168,</v>
      </c>
      <c r="H823" t="str">
        <f t="shared" si="87"/>
        <v>380,</v>
      </c>
      <c r="I823" t="str">
        <f t="shared" si="88"/>
        <v>'META',</v>
      </c>
      <c r="J823" t="str">
        <f t="shared" si="89"/>
        <v>723.32,</v>
      </c>
      <c r="K823" t="str">
        <f t="shared" si="90"/>
        <v>'SELL',</v>
      </c>
      <c r="L823" t="str">
        <f t="shared" si="91"/>
        <v>'2024-03-18 12:34:00'),</v>
      </c>
      <c r="M823" t="str">
        <f t="shared" si="92"/>
        <v>(4168,380,'META',723.32,'SELL','2024-03-18 12:34:00'),</v>
      </c>
    </row>
    <row r="824" spans="1:13" x14ac:dyDescent="0.2">
      <c r="A824">
        <v>1691</v>
      </c>
      <c r="B824">
        <v>545</v>
      </c>
      <c r="C824" t="s">
        <v>1066</v>
      </c>
      <c r="D824" t="s">
        <v>1887</v>
      </c>
      <c r="E824" t="s">
        <v>1068</v>
      </c>
      <c r="F824" s="8" t="s">
        <v>2884</v>
      </c>
      <c r="G824" t="str">
        <f t="shared" si="86"/>
        <v>(1691,</v>
      </c>
      <c r="H824" t="str">
        <f t="shared" si="87"/>
        <v>545,</v>
      </c>
      <c r="I824" t="str">
        <f t="shared" si="88"/>
        <v>'AMZN',</v>
      </c>
      <c r="J824" t="str">
        <f t="shared" si="89"/>
        <v>998.39,</v>
      </c>
      <c r="K824" t="str">
        <f t="shared" si="90"/>
        <v>'BUY',</v>
      </c>
      <c r="L824" t="str">
        <f t="shared" si="91"/>
        <v>'2024-03-05 15:40:00'),</v>
      </c>
      <c r="M824" t="str">
        <f t="shared" si="92"/>
        <v>(1691,545,'AMZN',998.39,'BUY','2024-03-05 15:40:00'),</v>
      </c>
    </row>
    <row r="825" spans="1:13" x14ac:dyDescent="0.2">
      <c r="A825">
        <v>5751</v>
      </c>
      <c r="B825">
        <v>415</v>
      </c>
      <c r="C825" t="s">
        <v>1063</v>
      </c>
      <c r="D825" t="s">
        <v>1655</v>
      </c>
      <c r="E825" t="s">
        <v>1068</v>
      </c>
      <c r="F825" s="8" t="s">
        <v>2885</v>
      </c>
      <c r="G825" t="str">
        <f t="shared" si="86"/>
        <v>(5751,</v>
      </c>
      <c r="H825" t="str">
        <f t="shared" si="87"/>
        <v>415,</v>
      </c>
      <c r="I825" t="str">
        <f t="shared" si="88"/>
        <v>'META',</v>
      </c>
      <c r="J825" t="str">
        <f t="shared" si="89"/>
        <v>644.89,</v>
      </c>
      <c r="K825" t="str">
        <f t="shared" si="90"/>
        <v>'BUY',</v>
      </c>
      <c r="L825" t="str">
        <f t="shared" si="91"/>
        <v>'2024-03-14 06:54:00'),</v>
      </c>
      <c r="M825" t="str">
        <f t="shared" si="92"/>
        <v>(5751,415,'META',644.89,'BUY','2024-03-14 06:54:00'),</v>
      </c>
    </row>
    <row r="826" spans="1:13" x14ac:dyDescent="0.2">
      <c r="A826">
        <v>1691</v>
      </c>
      <c r="B826">
        <v>140</v>
      </c>
      <c r="C826" t="s">
        <v>1063</v>
      </c>
      <c r="D826" t="s">
        <v>1888</v>
      </c>
      <c r="E826" t="s">
        <v>1068</v>
      </c>
      <c r="F826" s="8" t="s">
        <v>2886</v>
      </c>
      <c r="G826" t="str">
        <f t="shared" si="86"/>
        <v>(1691,</v>
      </c>
      <c r="H826" t="str">
        <f t="shared" si="87"/>
        <v>140,</v>
      </c>
      <c r="I826" t="str">
        <f t="shared" si="88"/>
        <v>'META',</v>
      </c>
      <c r="J826" t="str">
        <f t="shared" si="89"/>
        <v>768.52,</v>
      </c>
      <c r="K826" t="str">
        <f t="shared" si="90"/>
        <v>'BUY',</v>
      </c>
      <c r="L826" t="str">
        <f t="shared" si="91"/>
        <v>'2024-05-07 22:56:00'),</v>
      </c>
      <c r="M826" t="str">
        <f t="shared" si="92"/>
        <v>(1691,140,'META',768.52,'BUY','2024-05-07 22:56:00'),</v>
      </c>
    </row>
    <row r="827" spans="1:13" x14ac:dyDescent="0.2">
      <c r="A827">
        <v>5751</v>
      </c>
      <c r="B827">
        <v>357</v>
      </c>
      <c r="C827" t="s">
        <v>1066</v>
      </c>
      <c r="D827" t="s">
        <v>1889</v>
      </c>
      <c r="E827" t="s">
        <v>1068</v>
      </c>
      <c r="F827" s="8" t="s">
        <v>2887</v>
      </c>
      <c r="G827" t="str">
        <f t="shared" si="86"/>
        <v>(5751,</v>
      </c>
      <c r="H827" t="str">
        <f t="shared" si="87"/>
        <v>357,</v>
      </c>
      <c r="I827" t="str">
        <f t="shared" si="88"/>
        <v>'AMZN',</v>
      </c>
      <c r="J827" t="str">
        <f t="shared" si="89"/>
        <v>936.33,</v>
      </c>
      <c r="K827" t="str">
        <f t="shared" si="90"/>
        <v>'BUY',</v>
      </c>
      <c r="L827" t="str">
        <f t="shared" si="91"/>
        <v>'2024-04-03 14:09:00'),</v>
      </c>
      <c r="M827" t="str">
        <f t="shared" si="92"/>
        <v>(5751,357,'AMZN',936.33,'BUY','2024-04-03 14:09:00'),</v>
      </c>
    </row>
    <row r="828" spans="1:13" x14ac:dyDescent="0.2">
      <c r="A828">
        <v>2941</v>
      </c>
      <c r="B828">
        <v>527</v>
      </c>
      <c r="C828" t="s">
        <v>1063</v>
      </c>
      <c r="D828" t="s">
        <v>1890</v>
      </c>
      <c r="E828" t="s">
        <v>1062</v>
      </c>
      <c r="F828" s="8" t="s">
        <v>2888</v>
      </c>
      <c r="G828" t="str">
        <f t="shared" si="86"/>
        <v>(2941,</v>
      </c>
      <c r="H828" t="str">
        <f t="shared" si="87"/>
        <v>527,</v>
      </c>
      <c r="I828" t="str">
        <f t="shared" si="88"/>
        <v>'META',</v>
      </c>
      <c r="J828" t="str">
        <f t="shared" si="89"/>
        <v>909.56,</v>
      </c>
      <c r="K828" t="str">
        <f t="shared" si="90"/>
        <v>'SELL',</v>
      </c>
      <c r="L828" t="str">
        <f t="shared" si="91"/>
        <v>'2024-05-16 16:42:00'),</v>
      </c>
      <c r="M828" t="str">
        <f t="shared" si="92"/>
        <v>(2941,527,'META',909.56,'SELL','2024-05-16 16:42:00'),</v>
      </c>
    </row>
    <row r="829" spans="1:13" x14ac:dyDescent="0.2">
      <c r="A829">
        <v>4168</v>
      </c>
      <c r="B829">
        <v>935</v>
      </c>
      <c r="C829" t="s">
        <v>1063</v>
      </c>
      <c r="D829" t="s">
        <v>1891</v>
      </c>
      <c r="E829" t="s">
        <v>1068</v>
      </c>
      <c r="F829" s="8" t="s">
        <v>2889</v>
      </c>
      <c r="G829" t="str">
        <f t="shared" si="86"/>
        <v>(4168,</v>
      </c>
      <c r="H829" t="str">
        <f t="shared" si="87"/>
        <v>935,</v>
      </c>
      <c r="I829" t="str">
        <f t="shared" si="88"/>
        <v>'META',</v>
      </c>
      <c r="J829" t="str">
        <f t="shared" si="89"/>
        <v>500.21,</v>
      </c>
      <c r="K829" t="str">
        <f t="shared" si="90"/>
        <v>'BUY',</v>
      </c>
      <c r="L829" t="str">
        <f t="shared" si="91"/>
        <v>'2024-02-01 11:57:00'),</v>
      </c>
      <c r="M829" t="str">
        <f t="shared" si="92"/>
        <v>(4168,935,'META',500.21,'BUY','2024-02-01 11:57:00'),</v>
      </c>
    </row>
    <row r="830" spans="1:13" x14ac:dyDescent="0.2">
      <c r="A830">
        <v>9094</v>
      </c>
      <c r="B830">
        <v>733</v>
      </c>
      <c r="C830" t="s">
        <v>1063</v>
      </c>
      <c r="D830" t="s">
        <v>1892</v>
      </c>
      <c r="E830" t="s">
        <v>1062</v>
      </c>
      <c r="F830" s="8" t="s">
        <v>2890</v>
      </c>
      <c r="G830" t="str">
        <f t="shared" si="86"/>
        <v>(9094,</v>
      </c>
      <c r="H830" t="str">
        <f t="shared" si="87"/>
        <v>733,</v>
      </c>
      <c r="I830" t="str">
        <f t="shared" si="88"/>
        <v>'META',</v>
      </c>
      <c r="J830" t="str">
        <f t="shared" si="89"/>
        <v>630.29,</v>
      </c>
      <c r="K830" t="str">
        <f t="shared" si="90"/>
        <v>'SELL',</v>
      </c>
      <c r="L830" t="str">
        <f t="shared" si="91"/>
        <v>'2024-04-21 09:49:00'),</v>
      </c>
      <c r="M830" t="str">
        <f t="shared" si="92"/>
        <v>(9094,733,'META',630.29,'SELL','2024-04-21 09:49:00'),</v>
      </c>
    </row>
    <row r="831" spans="1:13" x14ac:dyDescent="0.2">
      <c r="A831">
        <v>5751</v>
      </c>
      <c r="B831">
        <v>203</v>
      </c>
      <c r="C831" t="s">
        <v>1066</v>
      </c>
      <c r="D831" t="s">
        <v>1893</v>
      </c>
      <c r="E831" t="s">
        <v>1068</v>
      </c>
      <c r="F831" s="8" t="s">
        <v>2891</v>
      </c>
      <c r="G831" t="str">
        <f t="shared" si="86"/>
        <v>(5751,</v>
      </c>
      <c r="H831" t="str">
        <f t="shared" si="87"/>
        <v>203,</v>
      </c>
      <c r="I831" t="str">
        <f t="shared" si="88"/>
        <v>'AMZN',</v>
      </c>
      <c r="J831" t="str">
        <f t="shared" si="89"/>
        <v>135.85,</v>
      </c>
      <c r="K831" t="str">
        <f t="shared" si="90"/>
        <v>'BUY',</v>
      </c>
      <c r="L831" t="str">
        <f t="shared" si="91"/>
        <v>'2024-02-29 09:02:00'),</v>
      </c>
      <c r="M831" t="str">
        <f t="shared" si="92"/>
        <v>(5751,203,'AMZN',135.85,'BUY','2024-02-29 09:02:00'),</v>
      </c>
    </row>
    <row r="832" spans="1:13" x14ac:dyDescent="0.2">
      <c r="A832">
        <v>6298</v>
      </c>
      <c r="B832">
        <v>158</v>
      </c>
      <c r="C832" t="s">
        <v>1063</v>
      </c>
      <c r="D832" t="s">
        <v>1894</v>
      </c>
      <c r="E832" t="s">
        <v>1062</v>
      </c>
      <c r="F832" s="8" t="s">
        <v>2892</v>
      </c>
      <c r="G832" t="str">
        <f t="shared" si="86"/>
        <v>(6298,</v>
      </c>
      <c r="H832" t="str">
        <f t="shared" si="87"/>
        <v>158,</v>
      </c>
      <c r="I832" t="str">
        <f t="shared" si="88"/>
        <v>'META',</v>
      </c>
      <c r="J832" t="str">
        <f t="shared" si="89"/>
        <v>283.98,</v>
      </c>
      <c r="K832" t="str">
        <f t="shared" si="90"/>
        <v>'SELL',</v>
      </c>
      <c r="L832" t="str">
        <f t="shared" si="91"/>
        <v>'2024-03-10 17:24:00'),</v>
      </c>
      <c r="M832" t="str">
        <f t="shared" si="92"/>
        <v>(6298,158,'META',283.98,'SELL','2024-03-10 17:24:00'),</v>
      </c>
    </row>
    <row r="833" spans="1:13" x14ac:dyDescent="0.2">
      <c r="A833">
        <v>4669</v>
      </c>
      <c r="B833">
        <v>703</v>
      </c>
      <c r="C833" t="s">
        <v>1063</v>
      </c>
      <c r="D833" t="s">
        <v>1895</v>
      </c>
      <c r="E833" t="s">
        <v>1062</v>
      </c>
      <c r="F833" s="8" t="s">
        <v>2893</v>
      </c>
      <c r="G833" t="str">
        <f t="shared" si="86"/>
        <v>(4669,</v>
      </c>
      <c r="H833" t="str">
        <f t="shared" si="87"/>
        <v>703,</v>
      </c>
      <c r="I833" t="str">
        <f t="shared" si="88"/>
        <v>'META',</v>
      </c>
      <c r="J833" t="str">
        <f t="shared" si="89"/>
        <v>908.65,</v>
      </c>
      <c r="K833" t="str">
        <f t="shared" si="90"/>
        <v>'SELL',</v>
      </c>
      <c r="L833" t="str">
        <f t="shared" si="91"/>
        <v>'2024-03-14 18:36:00'),</v>
      </c>
      <c r="M833" t="str">
        <f t="shared" si="92"/>
        <v>(4669,703,'META',908.65,'SELL','2024-03-14 18:36:00'),</v>
      </c>
    </row>
    <row r="834" spans="1:13" x14ac:dyDescent="0.2">
      <c r="A834">
        <v>5751</v>
      </c>
      <c r="B834">
        <v>18</v>
      </c>
      <c r="C834" t="s">
        <v>1069</v>
      </c>
      <c r="D834" t="s">
        <v>1896</v>
      </c>
      <c r="E834" t="s">
        <v>1062</v>
      </c>
      <c r="F834" s="8" t="s">
        <v>2894</v>
      </c>
      <c r="G834" t="str">
        <f t="shared" si="86"/>
        <v>(5751,</v>
      </c>
      <c r="H834" t="str">
        <f t="shared" si="87"/>
        <v>18,</v>
      </c>
      <c r="I834" t="str">
        <f t="shared" si="88"/>
        <v>'MSFT',</v>
      </c>
      <c r="J834" t="str">
        <f t="shared" si="89"/>
        <v>360.96,</v>
      </c>
      <c r="K834" t="str">
        <f t="shared" si="90"/>
        <v>'SELL',</v>
      </c>
      <c r="L834" t="str">
        <f t="shared" si="91"/>
        <v>'2024-02-01 14:57:00'),</v>
      </c>
      <c r="M834" t="str">
        <f t="shared" si="92"/>
        <v>(5751,18,'MSFT',360.96,'SELL','2024-02-01 14:57:00'),</v>
      </c>
    </row>
    <row r="835" spans="1:13" x14ac:dyDescent="0.2">
      <c r="A835">
        <v>4669</v>
      </c>
      <c r="B835">
        <v>263</v>
      </c>
      <c r="C835" t="s">
        <v>1066</v>
      </c>
      <c r="D835" t="s">
        <v>1897</v>
      </c>
      <c r="E835" t="s">
        <v>1062</v>
      </c>
      <c r="F835" s="8" t="s">
        <v>2895</v>
      </c>
      <c r="G835" t="str">
        <f t="shared" ref="G835:G898" si="93">"("&amp;A835&amp;","</f>
        <v>(4669,</v>
      </c>
      <c r="H835" t="str">
        <f t="shared" ref="H835:H898" si="94">B835&amp;","</f>
        <v>263,</v>
      </c>
      <c r="I835" t="str">
        <f t="shared" ref="I835:I898" si="95">"'"&amp;C835&amp;"',"</f>
        <v>'AMZN',</v>
      </c>
      <c r="J835" t="str">
        <f t="shared" ref="J835:J898" si="96">D835&amp;","</f>
        <v>414.67,</v>
      </c>
      <c r="K835" t="str">
        <f t="shared" ref="K835:K898" si="97">"'"&amp;E835&amp;"',"</f>
        <v>'SELL',</v>
      </c>
      <c r="L835" t="str">
        <f t="shared" ref="L835:L898" si="98">"'"&amp;F835&amp;"'),"</f>
        <v>'2024-01-31 03:38:00'),</v>
      </c>
      <c r="M835" t="str">
        <f t="shared" ref="M835:M898" si="99">G835&amp;H835&amp;I835&amp;J835&amp;K835&amp;L835</f>
        <v>(4669,263,'AMZN',414.67,'SELL','2024-01-31 03:38:00'),</v>
      </c>
    </row>
    <row r="836" spans="1:13" x14ac:dyDescent="0.2">
      <c r="A836">
        <v>7531</v>
      </c>
      <c r="B836">
        <v>125</v>
      </c>
      <c r="C836" t="s">
        <v>1066</v>
      </c>
      <c r="D836" t="s">
        <v>1898</v>
      </c>
      <c r="E836" t="s">
        <v>1068</v>
      </c>
      <c r="F836" s="8" t="s">
        <v>2896</v>
      </c>
      <c r="G836" t="str">
        <f t="shared" si="93"/>
        <v>(7531,</v>
      </c>
      <c r="H836" t="str">
        <f t="shared" si="94"/>
        <v>125,</v>
      </c>
      <c r="I836" t="str">
        <f t="shared" si="95"/>
        <v>'AMZN',</v>
      </c>
      <c r="J836" t="str">
        <f t="shared" si="96"/>
        <v>710.05,</v>
      </c>
      <c r="K836" t="str">
        <f t="shared" si="97"/>
        <v>'BUY',</v>
      </c>
      <c r="L836" t="str">
        <f t="shared" si="98"/>
        <v>'2024-03-15 09:49:00'),</v>
      </c>
      <c r="M836" t="str">
        <f t="shared" si="99"/>
        <v>(7531,125,'AMZN',710.05,'BUY','2024-03-15 09:49:00'),</v>
      </c>
    </row>
    <row r="837" spans="1:13" x14ac:dyDescent="0.2">
      <c r="A837">
        <v>9094</v>
      </c>
      <c r="B837">
        <v>238</v>
      </c>
      <c r="C837" t="s">
        <v>1069</v>
      </c>
      <c r="D837" t="s">
        <v>1899</v>
      </c>
      <c r="E837" t="s">
        <v>1068</v>
      </c>
      <c r="F837" s="8" t="s">
        <v>2897</v>
      </c>
      <c r="G837" t="str">
        <f t="shared" si="93"/>
        <v>(9094,</v>
      </c>
      <c r="H837" t="str">
        <f t="shared" si="94"/>
        <v>238,</v>
      </c>
      <c r="I837" t="str">
        <f t="shared" si="95"/>
        <v>'MSFT',</v>
      </c>
      <c r="J837" t="str">
        <f t="shared" si="96"/>
        <v>496.65,</v>
      </c>
      <c r="K837" t="str">
        <f t="shared" si="97"/>
        <v>'BUY',</v>
      </c>
      <c r="L837" t="str">
        <f t="shared" si="98"/>
        <v>'2024-02-13 07:31:00'),</v>
      </c>
      <c r="M837" t="str">
        <f t="shared" si="99"/>
        <v>(9094,238,'MSFT',496.65,'BUY','2024-02-13 07:31:00'),</v>
      </c>
    </row>
    <row r="838" spans="1:13" x14ac:dyDescent="0.2">
      <c r="A838">
        <v>9952</v>
      </c>
      <c r="B838">
        <v>567</v>
      </c>
      <c r="C838" t="s">
        <v>1063</v>
      </c>
      <c r="D838" t="s">
        <v>1900</v>
      </c>
      <c r="E838" t="s">
        <v>1068</v>
      </c>
      <c r="F838" s="8" t="s">
        <v>2898</v>
      </c>
      <c r="G838" t="str">
        <f t="shared" si="93"/>
        <v>(9952,</v>
      </c>
      <c r="H838" t="str">
        <f t="shared" si="94"/>
        <v>567,</v>
      </c>
      <c r="I838" t="str">
        <f t="shared" si="95"/>
        <v>'META',</v>
      </c>
      <c r="J838" t="str">
        <f t="shared" si="96"/>
        <v>952.31,</v>
      </c>
      <c r="K838" t="str">
        <f t="shared" si="97"/>
        <v>'BUY',</v>
      </c>
      <c r="L838" t="str">
        <f t="shared" si="98"/>
        <v>'2024-04-21 03:18:00'),</v>
      </c>
      <c r="M838" t="str">
        <f t="shared" si="99"/>
        <v>(9952,567,'META',952.31,'BUY','2024-04-21 03:18:00'),</v>
      </c>
    </row>
    <row r="839" spans="1:13" x14ac:dyDescent="0.2">
      <c r="A839">
        <v>4168</v>
      </c>
      <c r="B839">
        <v>53</v>
      </c>
      <c r="C839" t="s">
        <v>1066</v>
      </c>
      <c r="D839" t="s">
        <v>1901</v>
      </c>
      <c r="E839" t="s">
        <v>1062</v>
      </c>
      <c r="F839" s="8" t="s">
        <v>2899</v>
      </c>
      <c r="G839" t="str">
        <f t="shared" si="93"/>
        <v>(4168,</v>
      </c>
      <c r="H839" t="str">
        <f t="shared" si="94"/>
        <v>53,</v>
      </c>
      <c r="I839" t="str">
        <f t="shared" si="95"/>
        <v>'AMZN',</v>
      </c>
      <c r="J839" t="str">
        <f t="shared" si="96"/>
        <v>832.58,</v>
      </c>
      <c r="K839" t="str">
        <f t="shared" si="97"/>
        <v>'SELL',</v>
      </c>
      <c r="L839" t="str">
        <f t="shared" si="98"/>
        <v>'2024-04-19 01:05:00'),</v>
      </c>
      <c r="M839" t="str">
        <f t="shared" si="99"/>
        <v>(4168,53,'AMZN',832.58,'SELL','2024-04-19 01:05:00'),</v>
      </c>
    </row>
    <row r="840" spans="1:13" x14ac:dyDescent="0.2">
      <c r="A840">
        <v>7938</v>
      </c>
      <c r="B840">
        <v>281</v>
      </c>
      <c r="C840" t="s">
        <v>1069</v>
      </c>
      <c r="D840" t="s">
        <v>1902</v>
      </c>
      <c r="E840" t="s">
        <v>1062</v>
      </c>
      <c r="F840" s="8" t="s">
        <v>2900</v>
      </c>
      <c r="G840" t="str">
        <f t="shared" si="93"/>
        <v>(7938,</v>
      </c>
      <c r="H840" t="str">
        <f t="shared" si="94"/>
        <v>281,</v>
      </c>
      <c r="I840" t="str">
        <f t="shared" si="95"/>
        <v>'MSFT',</v>
      </c>
      <c r="J840" t="str">
        <f t="shared" si="96"/>
        <v>569.1,</v>
      </c>
      <c r="K840" t="str">
        <f t="shared" si="97"/>
        <v>'SELL',</v>
      </c>
      <c r="L840" t="str">
        <f t="shared" si="98"/>
        <v>'2024-03-12 07:26:00'),</v>
      </c>
      <c r="M840" t="str">
        <f t="shared" si="99"/>
        <v>(7938,281,'MSFT',569.1,'SELL','2024-03-12 07:26:00'),</v>
      </c>
    </row>
    <row r="841" spans="1:13" x14ac:dyDescent="0.2">
      <c r="A841">
        <v>4168</v>
      </c>
      <c r="B841">
        <v>619</v>
      </c>
      <c r="C841" t="s">
        <v>1066</v>
      </c>
      <c r="D841" t="s">
        <v>1903</v>
      </c>
      <c r="E841" t="s">
        <v>1062</v>
      </c>
      <c r="F841" s="8" t="s">
        <v>2901</v>
      </c>
      <c r="G841" t="str">
        <f t="shared" si="93"/>
        <v>(4168,</v>
      </c>
      <c r="H841" t="str">
        <f t="shared" si="94"/>
        <v>619,</v>
      </c>
      <c r="I841" t="str">
        <f t="shared" si="95"/>
        <v>'AMZN',</v>
      </c>
      <c r="J841" t="str">
        <f t="shared" si="96"/>
        <v>172.35,</v>
      </c>
      <c r="K841" t="str">
        <f t="shared" si="97"/>
        <v>'SELL',</v>
      </c>
      <c r="L841" t="str">
        <f t="shared" si="98"/>
        <v>'2024-01-23 06:07:00'),</v>
      </c>
      <c r="M841" t="str">
        <f t="shared" si="99"/>
        <v>(4168,619,'AMZN',172.35,'SELL','2024-01-23 06:07:00'),</v>
      </c>
    </row>
    <row r="842" spans="1:13" x14ac:dyDescent="0.2">
      <c r="A842">
        <v>6298</v>
      </c>
      <c r="B842">
        <v>311</v>
      </c>
      <c r="C842" t="s">
        <v>1069</v>
      </c>
      <c r="D842" t="s">
        <v>1904</v>
      </c>
      <c r="E842" t="s">
        <v>1062</v>
      </c>
      <c r="F842" s="8" t="s">
        <v>2902</v>
      </c>
      <c r="G842" t="str">
        <f t="shared" si="93"/>
        <v>(6298,</v>
      </c>
      <c r="H842" t="str">
        <f t="shared" si="94"/>
        <v>311,</v>
      </c>
      <c r="I842" t="str">
        <f t="shared" si="95"/>
        <v>'MSFT',</v>
      </c>
      <c r="J842" t="str">
        <f t="shared" si="96"/>
        <v>320.7,</v>
      </c>
      <c r="K842" t="str">
        <f t="shared" si="97"/>
        <v>'SELL',</v>
      </c>
      <c r="L842" t="str">
        <f t="shared" si="98"/>
        <v>'2024-01-14 15:34:00'),</v>
      </c>
      <c r="M842" t="str">
        <f t="shared" si="99"/>
        <v>(6298,311,'MSFT',320.7,'SELL','2024-01-14 15:34:00'),</v>
      </c>
    </row>
    <row r="843" spans="1:13" x14ac:dyDescent="0.2">
      <c r="A843">
        <v>1691</v>
      </c>
      <c r="B843">
        <v>817</v>
      </c>
      <c r="C843" t="s">
        <v>1063</v>
      </c>
      <c r="D843" t="s">
        <v>1905</v>
      </c>
      <c r="E843" t="s">
        <v>1068</v>
      </c>
      <c r="F843" s="8" t="s">
        <v>2903</v>
      </c>
      <c r="G843" t="str">
        <f t="shared" si="93"/>
        <v>(1691,</v>
      </c>
      <c r="H843" t="str">
        <f t="shared" si="94"/>
        <v>817,</v>
      </c>
      <c r="I843" t="str">
        <f t="shared" si="95"/>
        <v>'META',</v>
      </c>
      <c r="J843" t="str">
        <f t="shared" si="96"/>
        <v>844.46,</v>
      </c>
      <c r="K843" t="str">
        <f t="shared" si="97"/>
        <v>'BUY',</v>
      </c>
      <c r="L843" t="str">
        <f t="shared" si="98"/>
        <v>'2024-03-25 10:12:00'),</v>
      </c>
      <c r="M843" t="str">
        <f t="shared" si="99"/>
        <v>(1691,817,'META',844.46,'BUY','2024-03-25 10:12:00'),</v>
      </c>
    </row>
    <row r="844" spans="1:13" x14ac:dyDescent="0.2">
      <c r="A844">
        <v>6298</v>
      </c>
      <c r="B844">
        <v>508</v>
      </c>
      <c r="C844" t="s">
        <v>1066</v>
      </c>
      <c r="D844" t="s">
        <v>1906</v>
      </c>
      <c r="E844" t="s">
        <v>1062</v>
      </c>
      <c r="F844" s="8" t="s">
        <v>2904</v>
      </c>
      <c r="G844" t="str">
        <f t="shared" si="93"/>
        <v>(6298,</v>
      </c>
      <c r="H844" t="str">
        <f t="shared" si="94"/>
        <v>508,</v>
      </c>
      <c r="I844" t="str">
        <f t="shared" si="95"/>
        <v>'AMZN',</v>
      </c>
      <c r="J844" t="str">
        <f t="shared" si="96"/>
        <v>997.18,</v>
      </c>
      <c r="K844" t="str">
        <f t="shared" si="97"/>
        <v>'SELL',</v>
      </c>
      <c r="L844" t="str">
        <f t="shared" si="98"/>
        <v>'2024-03-24 10:42:00'),</v>
      </c>
      <c r="M844" t="str">
        <f t="shared" si="99"/>
        <v>(6298,508,'AMZN',997.18,'SELL','2024-03-24 10:42:00'),</v>
      </c>
    </row>
    <row r="845" spans="1:13" x14ac:dyDescent="0.2">
      <c r="A845">
        <v>5258</v>
      </c>
      <c r="B845">
        <v>972</v>
      </c>
      <c r="C845" t="s">
        <v>1066</v>
      </c>
      <c r="D845" t="s">
        <v>1907</v>
      </c>
      <c r="E845" t="s">
        <v>1062</v>
      </c>
      <c r="F845" s="8" t="s">
        <v>2905</v>
      </c>
      <c r="G845" t="str">
        <f t="shared" si="93"/>
        <v>(5258,</v>
      </c>
      <c r="H845" t="str">
        <f t="shared" si="94"/>
        <v>972,</v>
      </c>
      <c r="I845" t="str">
        <f t="shared" si="95"/>
        <v>'AMZN',</v>
      </c>
      <c r="J845" t="str">
        <f t="shared" si="96"/>
        <v>718.65,</v>
      </c>
      <c r="K845" t="str">
        <f t="shared" si="97"/>
        <v>'SELL',</v>
      </c>
      <c r="L845" t="str">
        <f t="shared" si="98"/>
        <v>'2024-05-30 21:52:00'),</v>
      </c>
      <c r="M845" t="str">
        <f t="shared" si="99"/>
        <v>(5258,972,'AMZN',718.65,'SELL','2024-05-30 21:52:00'),</v>
      </c>
    </row>
    <row r="846" spans="1:13" x14ac:dyDescent="0.2">
      <c r="A846">
        <v>2941</v>
      </c>
      <c r="B846">
        <v>50</v>
      </c>
      <c r="C846" t="s">
        <v>1069</v>
      </c>
      <c r="D846" t="s">
        <v>1908</v>
      </c>
      <c r="E846" t="s">
        <v>1062</v>
      </c>
      <c r="F846" s="8" t="s">
        <v>2906</v>
      </c>
      <c r="G846" t="str">
        <f t="shared" si="93"/>
        <v>(2941,</v>
      </c>
      <c r="H846" t="str">
        <f t="shared" si="94"/>
        <v>50,</v>
      </c>
      <c r="I846" t="str">
        <f t="shared" si="95"/>
        <v>'MSFT',</v>
      </c>
      <c r="J846" t="str">
        <f t="shared" si="96"/>
        <v>142.96,</v>
      </c>
      <c r="K846" t="str">
        <f t="shared" si="97"/>
        <v>'SELL',</v>
      </c>
      <c r="L846" t="str">
        <f t="shared" si="98"/>
        <v>'2024-05-13 00:09:00'),</v>
      </c>
      <c r="M846" t="str">
        <f t="shared" si="99"/>
        <v>(2941,50,'MSFT',142.96,'SELL','2024-05-13 00:09:00'),</v>
      </c>
    </row>
    <row r="847" spans="1:13" x14ac:dyDescent="0.2">
      <c r="A847">
        <v>9952</v>
      </c>
      <c r="B847">
        <v>372</v>
      </c>
      <c r="C847" t="s">
        <v>1063</v>
      </c>
      <c r="D847" t="s">
        <v>1909</v>
      </c>
      <c r="E847" t="s">
        <v>1062</v>
      </c>
      <c r="F847" s="8" t="s">
        <v>2907</v>
      </c>
      <c r="G847" t="str">
        <f t="shared" si="93"/>
        <v>(9952,</v>
      </c>
      <c r="H847" t="str">
        <f t="shared" si="94"/>
        <v>372,</v>
      </c>
      <c r="I847" t="str">
        <f t="shared" si="95"/>
        <v>'META',</v>
      </c>
      <c r="J847" t="str">
        <f t="shared" si="96"/>
        <v>962.61,</v>
      </c>
      <c r="K847" t="str">
        <f t="shared" si="97"/>
        <v>'SELL',</v>
      </c>
      <c r="L847" t="str">
        <f t="shared" si="98"/>
        <v>'2024-02-12 11:11:00'),</v>
      </c>
      <c r="M847" t="str">
        <f t="shared" si="99"/>
        <v>(9952,372,'META',962.61,'SELL','2024-02-12 11:11:00'),</v>
      </c>
    </row>
    <row r="848" spans="1:13" x14ac:dyDescent="0.2">
      <c r="A848">
        <v>9094</v>
      </c>
      <c r="B848">
        <v>501</v>
      </c>
      <c r="C848" t="s">
        <v>1063</v>
      </c>
      <c r="D848" t="s">
        <v>1910</v>
      </c>
      <c r="E848" t="s">
        <v>1062</v>
      </c>
      <c r="F848" s="8" t="s">
        <v>2908</v>
      </c>
      <c r="G848" t="str">
        <f t="shared" si="93"/>
        <v>(9094,</v>
      </c>
      <c r="H848" t="str">
        <f t="shared" si="94"/>
        <v>501,</v>
      </c>
      <c r="I848" t="str">
        <f t="shared" si="95"/>
        <v>'META',</v>
      </c>
      <c r="J848" t="str">
        <f t="shared" si="96"/>
        <v>846.78,</v>
      </c>
      <c r="K848" t="str">
        <f t="shared" si="97"/>
        <v>'SELL',</v>
      </c>
      <c r="L848" t="str">
        <f t="shared" si="98"/>
        <v>'2024-02-01 06:39:00'),</v>
      </c>
      <c r="M848" t="str">
        <f t="shared" si="99"/>
        <v>(9094,501,'META',846.78,'SELL','2024-02-01 06:39:00'),</v>
      </c>
    </row>
    <row r="849" spans="1:13" x14ac:dyDescent="0.2">
      <c r="A849">
        <v>4168</v>
      </c>
      <c r="B849">
        <v>725</v>
      </c>
      <c r="C849" t="s">
        <v>1063</v>
      </c>
      <c r="D849" t="s">
        <v>1911</v>
      </c>
      <c r="E849" t="s">
        <v>1062</v>
      </c>
      <c r="F849" s="8" t="s">
        <v>2909</v>
      </c>
      <c r="G849" t="str">
        <f t="shared" si="93"/>
        <v>(4168,</v>
      </c>
      <c r="H849" t="str">
        <f t="shared" si="94"/>
        <v>725,</v>
      </c>
      <c r="I849" t="str">
        <f t="shared" si="95"/>
        <v>'META',</v>
      </c>
      <c r="J849" t="str">
        <f t="shared" si="96"/>
        <v>668.0,</v>
      </c>
      <c r="K849" t="str">
        <f t="shared" si="97"/>
        <v>'SELL',</v>
      </c>
      <c r="L849" t="str">
        <f t="shared" si="98"/>
        <v>'2024-05-24 01:15:00'),</v>
      </c>
      <c r="M849" t="str">
        <f t="shared" si="99"/>
        <v>(4168,725,'META',668.0,'SELL','2024-05-24 01:15:00'),</v>
      </c>
    </row>
    <row r="850" spans="1:13" x14ac:dyDescent="0.2">
      <c r="A850">
        <v>5258</v>
      </c>
      <c r="B850">
        <v>551</v>
      </c>
      <c r="C850" t="s">
        <v>1066</v>
      </c>
      <c r="D850" t="s">
        <v>1912</v>
      </c>
      <c r="E850" t="s">
        <v>1068</v>
      </c>
      <c r="F850" s="8" t="s">
        <v>2910</v>
      </c>
      <c r="G850" t="str">
        <f t="shared" si="93"/>
        <v>(5258,</v>
      </c>
      <c r="H850" t="str">
        <f t="shared" si="94"/>
        <v>551,</v>
      </c>
      <c r="I850" t="str">
        <f t="shared" si="95"/>
        <v>'AMZN',</v>
      </c>
      <c r="J850" t="str">
        <f t="shared" si="96"/>
        <v>294.95,</v>
      </c>
      <c r="K850" t="str">
        <f t="shared" si="97"/>
        <v>'BUY',</v>
      </c>
      <c r="L850" t="str">
        <f t="shared" si="98"/>
        <v>'2024-02-18 06:17:00'),</v>
      </c>
      <c r="M850" t="str">
        <f t="shared" si="99"/>
        <v>(5258,551,'AMZN',294.95,'BUY','2024-02-18 06:17:00'),</v>
      </c>
    </row>
    <row r="851" spans="1:13" x14ac:dyDescent="0.2">
      <c r="A851">
        <v>4168</v>
      </c>
      <c r="B851">
        <v>211</v>
      </c>
      <c r="C851" t="s">
        <v>1069</v>
      </c>
      <c r="D851" t="s">
        <v>1913</v>
      </c>
      <c r="E851" t="s">
        <v>1068</v>
      </c>
      <c r="F851" s="8" t="s">
        <v>2911</v>
      </c>
      <c r="G851" t="str">
        <f t="shared" si="93"/>
        <v>(4168,</v>
      </c>
      <c r="H851" t="str">
        <f t="shared" si="94"/>
        <v>211,</v>
      </c>
      <c r="I851" t="str">
        <f t="shared" si="95"/>
        <v>'MSFT',</v>
      </c>
      <c r="J851" t="str">
        <f t="shared" si="96"/>
        <v>720.16,</v>
      </c>
      <c r="K851" t="str">
        <f t="shared" si="97"/>
        <v>'BUY',</v>
      </c>
      <c r="L851" t="str">
        <f t="shared" si="98"/>
        <v>'2024-01-27 12:18:00'),</v>
      </c>
      <c r="M851" t="str">
        <f t="shared" si="99"/>
        <v>(4168,211,'MSFT',720.16,'BUY','2024-01-27 12:18:00'),</v>
      </c>
    </row>
    <row r="852" spans="1:13" x14ac:dyDescent="0.2">
      <c r="A852">
        <v>4669</v>
      </c>
      <c r="B852">
        <v>100</v>
      </c>
      <c r="C852" t="s">
        <v>1063</v>
      </c>
      <c r="D852" t="s">
        <v>1914</v>
      </c>
      <c r="E852" t="s">
        <v>1062</v>
      </c>
      <c r="F852" s="8" t="s">
        <v>2912</v>
      </c>
      <c r="G852" t="str">
        <f t="shared" si="93"/>
        <v>(4669,</v>
      </c>
      <c r="H852" t="str">
        <f t="shared" si="94"/>
        <v>100,</v>
      </c>
      <c r="I852" t="str">
        <f t="shared" si="95"/>
        <v>'META',</v>
      </c>
      <c r="J852" t="str">
        <f t="shared" si="96"/>
        <v>771.01,</v>
      </c>
      <c r="K852" t="str">
        <f t="shared" si="97"/>
        <v>'SELL',</v>
      </c>
      <c r="L852" t="str">
        <f t="shared" si="98"/>
        <v>'2024-05-12 05:23:00'),</v>
      </c>
      <c r="M852" t="str">
        <f t="shared" si="99"/>
        <v>(4669,100,'META',771.01,'SELL','2024-05-12 05:23:00'),</v>
      </c>
    </row>
    <row r="853" spans="1:13" x14ac:dyDescent="0.2">
      <c r="A853">
        <v>7531</v>
      </c>
      <c r="B853">
        <v>939</v>
      </c>
      <c r="C853" t="s">
        <v>1066</v>
      </c>
      <c r="D853" t="s">
        <v>1915</v>
      </c>
      <c r="E853" t="s">
        <v>1062</v>
      </c>
      <c r="F853" s="8" t="s">
        <v>2913</v>
      </c>
      <c r="G853" t="str">
        <f t="shared" si="93"/>
        <v>(7531,</v>
      </c>
      <c r="H853" t="str">
        <f t="shared" si="94"/>
        <v>939,</v>
      </c>
      <c r="I853" t="str">
        <f t="shared" si="95"/>
        <v>'AMZN',</v>
      </c>
      <c r="J853" t="str">
        <f t="shared" si="96"/>
        <v>966.77,</v>
      </c>
      <c r="K853" t="str">
        <f t="shared" si="97"/>
        <v>'SELL',</v>
      </c>
      <c r="L853" t="str">
        <f t="shared" si="98"/>
        <v>'2024-02-05 04:27:00'),</v>
      </c>
      <c r="M853" t="str">
        <f t="shared" si="99"/>
        <v>(7531,939,'AMZN',966.77,'SELL','2024-02-05 04:27:00'),</v>
      </c>
    </row>
    <row r="854" spans="1:13" x14ac:dyDescent="0.2">
      <c r="A854">
        <v>4710</v>
      </c>
      <c r="B854">
        <v>677</v>
      </c>
      <c r="C854" t="s">
        <v>1063</v>
      </c>
      <c r="D854" t="s">
        <v>1916</v>
      </c>
      <c r="E854" t="s">
        <v>1068</v>
      </c>
      <c r="F854" s="8" t="s">
        <v>2914</v>
      </c>
      <c r="G854" t="str">
        <f t="shared" si="93"/>
        <v>(4710,</v>
      </c>
      <c r="H854" t="str">
        <f t="shared" si="94"/>
        <v>677,</v>
      </c>
      <c r="I854" t="str">
        <f t="shared" si="95"/>
        <v>'META',</v>
      </c>
      <c r="J854" t="str">
        <f t="shared" si="96"/>
        <v>962.49,</v>
      </c>
      <c r="K854" t="str">
        <f t="shared" si="97"/>
        <v>'BUY',</v>
      </c>
      <c r="L854" t="str">
        <f t="shared" si="98"/>
        <v>'2024-05-15 16:17:00'),</v>
      </c>
      <c r="M854" t="str">
        <f t="shared" si="99"/>
        <v>(4710,677,'META',962.49,'BUY','2024-05-15 16:17:00'),</v>
      </c>
    </row>
    <row r="855" spans="1:13" x14ac:dyDescent="0.2">
      <c r="A855">
        <v>7922</v>
      </c>
      <c r="B855">
        <v>956</v>
      </c>
      <c r="C855" t="s">
        <v>1063</v>
      </c>
      <c r="D855" t="s">
        <v>1917</v>
      </c>
      <c r="E855" t="s">
        <v>1062</v>
      </c>
      <c r="F855" s="8" t="s">
        <v>2915</v>
      </c>
      <c r="G855" t="str">
        <f t="shared" si="93"/>
        <v>(7922,</v>
      </c>
      <c r="H855" t="str">
        <f t="shared" si="94"/>
        <v>956,</v>
      </c>
      <c r="I855" t="str">
        <f t="shared" si="95"/>
        <v>'META',</v>
      </c>
      <c r="J855" t="str">
        <f t="shared" si="96"/>
        <v>504.94,</v>
      </c>
      <c r="K855" t="str">
        <f t="shared" si="97"/>
        <v>'SELL',</v>
      </c>
      <c r="L855" t="str">
        <f t="shared" si="98"/>
        <v>'2024-03-25 02:55:00'),</v>
      </c>
      <c r="M855" t="str">
        <f t="shared" si="99"/>
        <v>(7922,956,'META',504.94,'SELL','2024-03-25 02:55:00'),</v>
      </c>
    </row>
    <row r="856" spans="1:13" x14ac:dyDescent="0.2">
      <c r="A856">
        <v>9094</v>
      </c>
      <c r="B856">
        <v>813</v>
      </c>
      <c r="C856" t="s">
        <v>1066</v>
      </c>
      <c r="D856" t="s">
        <v>1918</v>
      </c>
      <c r="E856" t="s">
        <v>1062</v>
      </c>
      <c r="F856" s="8" t="s">
        <v>2916</v>
      </c>
      <c r="G856" t="str">
        <f t="shared" si="93"/>
        <v>(9094,</v>
      </c>
      <c r="H856" t="str">
        <f t="shared" si="94"/>
        <v>813,</v>
      </c>
      <c r="I856" t="str">
        <f t="shared" si="95"/>
        <v>'AMZN',</v>
      </c>
      <c r="J856" t="str">
        <f t="shared" si="96"/>
        <v>432.04,</v>
      </c>
      <c r="K856" t="str">
        <f t="shared" si="97"/>
        <v>'SELL',</v>
      </c>
      <c r="L856" t="str">
        <f t="shared" si="98"/>
        <v>'2024-03-30 12:41:00'),</v>
      </c>
      <c r="M856" t="str">
        <f t="shared" si="99"/>
        <v>(9094,813,'AMZN',432.04,'SELL','2024-03-30 12:41:00'),</v>
      </c>
    </row>
    <row r="857" spans="1:13" x14ac:dyDescent="0.2">
      <c r="A857">
        <v>5751</v>
      </c>
      <c r="B857">
        <v>910</v>
      </c>
      <c r="C857" t="s">
        <v>1063</v>
      </c>
      <c r="D857" t="s">
        <v>1919</v>
      </c>
      <c r="E857" t="s">
        <v>1062</v>
      </c>
      <c r="F857" s="8" t="s">
        <v>2917</v>
      </c>
      <c r="G857" t="str">
        <f t="shared" si="93"/>
        <v>(5751,</v>
      </c>
      <c r="H857" t="str">
        <f t="shared" si="94"/>
        <v>910,</v>
      </c>
      <c r="I857" t="str">
        <f t="shared" si="95"/>
        <v>'META',</v>
      </c>
      <c r="J857" t="str">
        <f t="shared" si="96"/>
        <v>847.54,</v>
      </c>
      <c r="K857" t="str">
        <f t="shared" si="97"/>
        <v>'SELL',</v>
      </c>
      <c r="L857" t="str">
        <f t="shared" si="98"/>
        <v>'2024-04-26 20:29:00'),</v>
      </c>
      <c r="M857" t="str">
        <f t="shared" si="99"/>
        <v>(5751,910,'META',847.54,'SELL','2024-04-26 20:29:00'),</v>
      </c>
    </row>
    <row r="858" spans="1:13" x14ac:dyDescent="0.2">
      <c r="A858">
        <v>4168</v>
      </c>
      <c r="B858">
        <v>764</v>
      </c>
      <c r="C858" t="s">
        <v>1066</v>
      </c>
      <c r="D858" t="s">
        <v>1920</v>
      </c>
      <c r="E858" t="s">
        <v>1062</v>
      </c>
      <c r="F858" s="8" t="s">
        <v>2918</v>
      </c>
      <c r="G858" t="str">
        <f t="shared" si="93"/>
        <v>(4168,</v>
      </c>
      <c r="H858" t="str">
        <f t="shared" si="94"/>
        <v>764,</v>
      </c>
      <c r="I858" t="str">
        <f t="shared" si="95"/>
        <v>'AMZN',</v>
      </c>
      <c r="J858" t="str">
        <f t="shared" si="96"/>
        <v>137.48,</v>
      </c>
      <c r="K858" t="str">
        <f t="shared" si="97"/>
        <v>'SELL',</v>
      </c>
      <c r="L858" t="str">
        <f t="shared" si="98"/>
        <v>'2024-04-05 09:35:00'),</v>
      </c>
      <c r="M858" t="str">
        <f t="shared" si="99"/>
        <v>(4168,764,'AMZN',137.48,'SELL','2024-04-05 09:35:00'),</v>
      </c>
    </row>
    <row r="859" spans="1:13" x14ac:dyDescent="0.2">
      <c r="A859">
        <v>5258</v>
      </c>
      <c r="B859">
        <v>776</v>
      </c>
      <c r="C859" t="s">
        <v>1066</v>
      </c>
      <c r="D859" t="s">
        <v>1921</v>
      </c>
      <c r="E859" t="s">
        <v>1068</v>
      </c>
      <c r="F859" s="8" t="s">
        <v>2919</v>
      </c>
      <c r="G859" t="str">
        <f t="shared" si="93"/>
        <v>(5258,</v>
      </c>
      <c r="H859" t="str">
        <f t="shared" si="94"/>
        <v>776,</v>
      </c>
      <c r="I859" t="str">
        <f t="shared" si="95"/>
        <v>'AMZN',</v>
      </c>
      <c r="J859" t="str">
        <f t="shared" si="96"/>
        <v>772.68,</v>
      </c>
      <c r="K859" t="str">
        <f t="shared" si="97"/>
        <v>'BUY',</v>
      </c>
      <c r="L859" t="str">
        <f t="shared" si="98"/>
        <v>'2024-03-17 20:07:00'),</v>
      </c>
      <c r="M859" t="str">
        <f t="shared" si="99"/>
        <v>(5258,776,'AMZN',772.68,'BUY','2024-03-17 20:07:00'),</v>
      </c>
    </row>
    <row r="860" spans="1:13" x14ac:dyDescent="0.2">
      <c r="A860">
        <v>5297</v>
      </c>
      <c r="B860">
        <v>263</v>
      </c>
      <c r="C860" t="s">
        <v>1069</v>
      </c>
      <c r="D860" t="s">
        <v>1922</v>
      </c>
      <c r="E860" t="s">
        <v>1062</v>
      </c>
      <c r="F860" s="8" t="s">
        <v>2920</v>
      </c>
      <c r="G860" t="str">
        <f t="shared" si="93"/>
        <v>(5297,</v>
      </c>
      <c r="H860" t="str">
        <f t="shared" si="94"/>
        <v>263,</v>
      </c>
      <c r="I860" t="str">
        <f t="shared" si="95"/>
        <v>'MSFT',</v>
      </c>
      <c r="J860" t="str">
        <f t="shared" si="96"/>
        <v>237.47,</v>
      </c>
      <c r="K860" t="str">
        <f t="shared" si="97"/>
        <v>'SELL',</v>
      </c>
      <c r="L860" t="str">
        <f t="shared" si="98"/>
        <v>'2024-04-05 18:29:00'),</v>
      </c>
      <c r="M860" t="str">
        <f t="shared" si="99"/>
        <v>(5297,263,'MSFT',237.47,'SELL','2024-04-05 18:29:00'),</v>
      </c>
    </row>
    <row r="861" spans="1:13" x14ac:dyDescent="0.2">
      <c r="A861">
        <v>7922</v>
      </c>
      <c r="B861">
        <v>878</v>
      </c>
      <c r="C861" t="s">
        <v>1063</v>
      </c>
      <c r="D861" t="s">
        <v>1923</v>
      </c>
      <c r="E861" t="s">
        <v>1068</v>
      </c>
      <c r="F861" s="8" t="s">
        <v>2921</v>
      </c>
      <c r="G861" t="str">
        <f t="shared" si="93"/>
        <v>(7922,</v>
      </c>
      <c r="H861" t="str">
        <f t="shared" si="94"/>
        <v>878,</v>
      </c>
      <c r="I861" t="str">
        <f t="shared" si="95"/>
        <v>'META',</v>
      </c>
      <c r="J861" t="str">
        <f t="shared" si="96"/>
        <v>136.19,</v>
      </c>
      <c r="K861" t="str">
        <f t="shared" si="97"/>
        <v>'BUY',</v>
      </c>
      <c r="L861" t="str">
        <f t="shared" si="98"/>
        <v>'2024-04-19 07:26:00'),</v>
      </c>
      <c r="M861" t="str">
        <f t="shared" si="99"/>
        <v>(7922,878,'META',136.19,'BUY','2024-04-19 07:26:00'),</v>
      </c>
    </row>
    <row r="862" spans="1:13" x14ac:dyDescent="0.2">
      <c r="A862">
        <v>5258</v>
      </c>
      <c r="B862">
        <v>619</v>
      </c>
      <c r="C862" t="s">
        <v>1060</v>
      </c>
      <c r="D862" t="s">
        <v>1924</v>
      </c>
      <c r="E862" t="s">
        <v>1068</v>
      </c>
      <c r="F862" s="8" t="s">
        <v>2922</v>
      </c>
      <c r="G862" t="str">
        <f t="shared" si="93"/>
        <v>(5258,</v>
      </c>
      <c r="H862" t="str">
        <f t="shared" si="94"/>
        <v>619,</v>
      </c>
      <c r="I862" t="str">
        <f t="shared" si="95"/>
        <v>'TSLA',</v>
      </c>
      <c r="J862" t="str">
        <f t="shared" si="96"/>
        <v>873.64,</v>
      </c>
      <c r="K862" t="str">
        <f t="shared" si="97"/>
        <v>'BUY',</v>
      </c>
      <c r="L862" t="str">
        <f t="shared" si="98"/>
        <v>'2024-04-07 16:13:00'),</v>
      </c>
      <c r="M862" t="str">
        <f t="shared" si="99"/>
        <v>(5258,619,'TSLA',873.64,'BUY','2024-04-07 16:13:00'),</v>
      </c>
    </row>
    <row r="863" spans="1:13" x14ac:dyDescent="0.2">
      <c r="A863">
        <v>1691</v>
      </c>
      <c r="B863">
        <v>982</v>
      </c>
      <c r="C863" t="s">
        <v>1066</v>
      </c>
      <c r="D863" t="s">
        <v>1925</v>
      </c>
      <c r="E863" t="s">
        <v>1062</v>
      </c>
      <c r="F863" s="8" t="s">
        <v>2923</v>
      </c>
      <c r="G863" t="str">
        <f t="shared" si="93"/>
        <v>(1691,</v>
      </c>
      <c r="H863" t="str">
        <f t="shared" si="94"/>
        <v>982,</v>
      </c>
      <c r="I863" t="str">
        <f t="shared" si="95"/>
        <v>'AMZN',</v>
      </c>
      <c r="J863" t="str">
        <f t="shared" si="96"/>
        <v>878.28,</v>
      </c>
      <c r="K863" t="str">
        <f t="shared" si="97"/>
        <v>'SELL',</v>
      </c>
      <c r="L863" t="str">
        <f t="shared" si="98"/>
        <v>'2024-04-01 00:15:00'),</v>
      </c>
      <c r="M863" t="str">
        <f t="shared" si="99"/>
        <v>(1691,982,'AMZN',878.28,'SELL','2024-04-01 00:15:00'),</v>
      </c>
    </row>
    <row r="864" spans="1:13" x14ac:dyDescent="0.2">
      <c r="A864">
        <v>4168</v>
      </c>
      <c r="B864">
        <v>331</v>
      </c>
      <c r="C864" t="s">
        <v>1069</v>
      </c>
      <c r="D864" t="s">
        <v>1926</v>
      </c>
      <c r="E864" t="s">
        <v>1068</v>
      </c>
      <c r="F864" s="8" t="s">
        <v>2924</v>
      </c>
      <c r="G864" t="str">
        <f t="shared" si="93"/>
        <v>(4168,</v>
      </c>
      <c r="H864" t="str">
        <f t="shared" si="94"/>
        <v>331,</v>
      </c>
      <c r="I864" t="str">
        <f t="shared" si="95"/>
        <v>'MSFT',</v>
      </c>
      <c r="J864" t="str">
        <f t="shared" si="96"/>
        <v>200.83,</v>
      </c>
      <c r="K864" t="str">
        <f t="shared" si="97"/>
        <v>'BUY',</v>
      </c>
      <c r="L864" t="str">
        <f t="shared" si="98"/>
        <v>'2024-02-16 22:08:00'),</v>
      </c>
      <c r="M864" t="str">
        <f t="shared" si="99"/>
        <v>(4168,331,'MSFT',200.83,'BUY','2024-02-16 22:08:00'),</v>
      </c>
    </row>
    <row r="865" spans="1:13" x14ac:dyDescent="0.2">
      <c r="A865">
        <v>4669</v>
      </c>
      <c r="B865">
        <v>990</v>
      </c>
      <c r="C865" t="s">
        <v>1066</v>
      </c>
      <c r="D865" t="s">
        <v>1927</v>
      </c>
      <c r="E865" t="s">
        <v>1068</v>
      </c>
      <c r="F865" s="8" t="s">
        <v>2925</v>
      </c>
      <c r="G865" t="str">
        <f t="shared" si="93"/>
        <v>(4669,</v>
      </c>
      <c r="H865" t="str">
        <f t="shared" si="94"/>
        <v>990,</v>
      </c>
      <c r="I865" t="str">
        <f t="shared" si="95"/>
        <v>'AMZN',</v>
      </c>
      <c r="J865" t="str">
        <f t="shared" si="96"/>
        <v>575.82,</v>
      </c>
      <c r="K865" t="str">
        <f t="shared" si="97"/>
        <v>'BUY',</v>
      </c>
      <c r="L865" t="str">
        <f t="shared" si="98"/>
        <v>'2024-05-30 02:23:00'),</v>
      </c>
      <c r="M865" t="str">
        <f t="shared" si="99"/>
        <v>(4669,990,'AMZN',575.82,'BUY','2024-05-30 02:23:00'),</v>
      </c>
    </row>
    <row r="866" spans="1:13" x14ac:dyDescent="0.2">
      <c r="A866">
        <v>7531</v>
      </c>
      <c r="B866">
        <v>2</v>
      </c>
      <c r="C866" t="s">
        <v>1066</v>
      </c>
      <c r="D866" t="s">
        <v>1928</v>
      </c>
      <c r="E866" t="s">
        <v>1062</v>
      </c>
      <c r="F866" s="8" t="s">
        <v>2926</v>
      </c>
      <c r="G866" t="str">
        <f t="shared" si="93"/>
        <v>(7531,</v>
      </c>
      <c r="H866" t="str">
        <f t="shared" si="94"/>
        <v>2,</v>
      </c>
      <c r="I866" t="str">
        <f t="shared" si="95"/>
        <v>'AMZN',</v>
      </c>
      <c r="J866" t="str">
        <f t="shared" si="96"/>
        <v>845.41,</v>
      </c>
      <c r="K866" t="str">
        <f t="shared" si="97"/>
        <v>'SELL',</v>
      </c>
      <c r="L866" t="str">
        <f t="shared" si="98"/>
        <v>'2024-05-21 04:07:00'),</v>
      </c>
      <c r="M866" t="str">
        <f t="shared" si="99"/>
        <v>(7531,2,'AMZN',845.41,'SELL','2024-05-21 04:07:00'),</v>
      </c>
    </row>
    <row r="867" spans="1:13" x14ac:dyDescent="0.2">
      <c r="A867">
        <v>4669</v>
      </c>
      <c r="B867">
        <v>288</v>
      </c>
      <c r="C867" t="s">
        <v>1069</v>
      </c>
      <c r="D867" t="s">
        <v>1929</v>
      </c>
      <c r="E867" t="s">
        <v>1068</v>
      </c>
      <c r="F867" s="8" t="s">
        <v>2927</v>
      </c>
      <c r="G867" t="str">
        <f t="shared" si="93"/>
        <v>(4669,</v>
      </c>
      <c r="H867" t="str">
        <f t="shared" si="94"/>
        <v>288,</v>
      </c>
      <c r="I867" t="str">
        <f t="shared" si="95"/>
        <v>'MSFT',</v>
      </c>
      <c r="J867" t="str">
        <f t="shared" si="96"/>
        <v>386.46,</v>
      </c>
      <c r="K867" t="str">
        <f t="shared" si="97"/>
        <v>'BUY',</v>
      </c>
      <c r="L867" t="str">
        <f t="shared" si="98"/>
        <v>'2024-05-29 23:35:00'),</v>
      </c>
      <c r="M867" t="str">
        <f t="shared" si="99"/>
        <v>(4669,288,'MSFT',386.46,'BUY','2024-05-29 23:35:00'),</v>
      </c>
    </row>
    <row r="868" spans="1:13" x14ac:dyDescent="0.2">
      <c r="A868">
        <v>9952</v>
      </c>
      <c r="B868">
        <v>803</v>
      </c>
      <c r="C868" t="s">
        <v>1066</v>
      </c>
      <c r="D868" t="s">
        <v>1930</v>
      </c>
      <c r="E868" t="s">
        <v>1062</v>
      </c>
      <c r="F868" s="8" t="s">
        <v>2248</v>
      </c>
      <c r="G868" t="str">
        <f t="shared" si="93"/>
        <v>(9952,</v>
      </c>
      <c r="H868" t="str">
        <f t="shared" si="94"/>
        <v>803,</v>
      </c>
      <c r="I868" t="str">
        <f t="shared" si="95"/>
        <v>'AMZN',</v>
      </c>
      <c r="J868" t="str">
        <f t="shared" si="96"/>
        <v>860.04,</v>
      </c>
      <c r="K868" t="str">
        <f t="shared" si="97"/>
        <v>'SELL',</v>
      </c>
      <c r="L868" t="str">
        <f t="shared" si="98"/>
        <v>'2024-02-18 09:23:00'),</v>
      </c>
      <c r="M868" t="str">
        <f t="shared" si="99"/>
        <v>(9952,803,'AMZN',860.04,'SELL','2024-02-18 09:23:00'),</v>
      </c>
    </row>
    <row r="869" spans="1:13" x14ac:dyDescent="0.2">
      <c r="A869">
        <v>5705</v>
      </c>
      <c r="B869">
        <v>644</v>
      </c>
      <c r="C869" t="s">
        <v>1069</v>
      </c>
      <c r="D869" t="s">
        <v>1931</v>
      </c>
      <c r="E869" t="s">
        <v>1062</v>
      </c>
      <c r="F869" s="8" t="s">
        <v>2928</v>
      </c>
      <c r="G869" t="str">
        <f t="shared" si="93"/>
        <v>(5705,</v>
      </c>
      <c r="H869" t="str">
        <f t="shared" si="94"/>
        <v>644,</v>
      </c>
      <c r="I869" t="str">
        <f t="shared" si="95"/>
        <v>'MSFT',</v>
      </c>
      <c r="J869" t="str">
        <f t="shared" si="96"/>
        <v>126.02,</v>
      </c>
      <c r="K869" t="str">
        <f t="shared" si="97"/>
        <v>'SELL',</v>
      </c>
      <c r="L869" t="str">
        <f t="shared" si="98"/>
        <v>'2024-04-18 20:21:00'),</v>
      </c>
      <c r="M869" t="str">
        <f t="shared" si="99"/>
        <v>(5705,644,'MSFT',126.02,'SELL','2024-04-18 20:21:00'),</v>
      </c>
    </row>
    <row r="870" spans="1:13" x14ac:dyDescent="0.2">
      <c r="A870">
        <v>5705</v>
      </c>
      <c r="B870">
        <v>372</v>
      </c>
      <c r="C870" t="s">
        <v>1069</v>
      </c>
      <c r="D870" t="s">
        <v>1932</v>
      </c>
      <c r="E870" t="s">
        <v>1062</v>
      </c>
      <c r="F870" s="8" t="s">
        <v>2929</v>
      </c>
      <c r="G870" t="str">
        <f t="shared" si="93"/>
        <v>(5705,</v>
      </c>
      <c r="H870" t="str">
        <f t="shared" si="94"/>
        <v>372,</v>
      </c>
      <c r="I870" t="str">
        <f t="shared" si="95"/>
        <v>'MSFT',</v>
      </c>
      <c r="J870" t="str">
        <f t="shared" si="96"/>
        <v>556.06,</v>
      </c>
      <c r="K870" t="str">
        <f t="shared" si="97"/>
        <v>'SELL',</v>
      </c>
      <c r="L870" t="str">
        <f t="shared" si="98"/>
        <v>'2024-01-25 16:44:00'),</v>
      </c>
      <c r="M870" t="str">
        <f t="shared" si="99"/>
        <v>(5705,372,'MSFT',556.06,'SELL','2024-01-25 16:44:00'),</v>
      </c>
    </row>
    <row r="871" spans="1:13" x14ac:dyDescent="0.2">
      <c r="A871">
        <v>7531</v>
      </c>
      <c r="B871">
        <v>863</v>
      </c>
      <c r="C871" t="s">
        <v>1066</v>
      </c>
      <c r="D871" t="s">
        <v>1933</v>
      </c>
      <c r="E871" t="s">
        <v>1062</v>
      </c>
      <c r="F871" s="8" t="s">
        <v>2930</v>
      </c>
      <c r="G871" t="str">
        <f t="shared" si="93"/>
        <v>(7531,</v>
      </c>
      <c r="H871" t="str">
        <f t="shared" si="94"/>
        <v>863,</v>
      </c>
      <c r="I871" t="str">
        <f t="shared" si="95"/>
        <v>'AMZN',</v>
      </c>
      <c r="J871" t="str">
        <f t="shared" si="96"/>
        <v>605.56,</v>
      </c>
      <c r="K871" t="str">
        <f t="shared" si="97"/>
        <v>'SELL',</v>
      </c>
      <c r="L871" t="str">
        <f t="shared" si="98"/>
        <v>'2024-04-17 04:16:00'),</v>
      </c>
      <c r="M871" t="str">
        <f t="shared" si="99"/>
        <v>(7531,863,'AMZN',605.56,'SELL','2024-04-17 04:16:00'),</v>
      </c>
    </row>
    <row r="872" spans="1:13" x14ac:dyDescent="0.2">
      <c r="A872">
        <v>4710</v>
      </c>
      <c r="B872">
        <v>786</v>
      </c>
      <c r="C872" t="s">
        <v>1063</v>
      </c>
      <c r="D872" t="s">
        <v>1934</v>
      </c>
      <c r="E872" t="s">
        <v>1062</v>
      </c>
      <c r="F872" s="8" t="s">
        <v>2931</v>
      </c>
      <c r="G872" t="str">
        <f t="shared" si="93"/>
        <v>(4710,</v>
      </c>
      <c r="H872" t="str">
        <f t="shared" si="94"/>
        <v>786,</v>
      </c>
      <c r="I872" t="str">
        <f t="shared" si="95"/>
        <v>'META',</v>
      </c>
      <c r="J872" t="str">
        <f t="shared" si="96"/>
        <v>434.7,</v>
      </c>
      <c r="K872" t="str">
        <f t="shared" si="97"/>
        <v>'SELL',</v>
      </c>
      <c r="L872" t="str">
        <f t="shared" si="98"/>
        <v>'2024-04-01 01:02:00'),</v>
      </c>
      <c r="M872" t="str">
        <f t="shared" si="99"/>
        <v>(4710,786,'META',434.7,'SELL','2024-04-01 01:02:00'),</v>
      </c>
    </row>
    <row r="873" spans="1:13" x14ac:dyDescent="0.2">
      <c r="A873">
        <v>9952</v>
      </c>
      <c r="B873">
        <v>354</v>
      </c>
      <c r="C873" t="s">
        <v>1060</v>
      </c>
      <c r="D873" t="s">
        <v>1935</v>
      </c>
      <c r="E873" t="s">
        <v>1068</v>
      </c>
      <c r="F873" s="8" t="s">
        <v>2932</v>
      </c>
      <c r="G873" t="str">
        <f t="shared" si="93"/>
        <v>(9952,</v>
      </c>
      <c r="H873" t="str">
        <f t="shared" si="94"/>
        <v>354,</v>
      </c>
      <c r="I873" t="str">
        <f t="shared" si="95"/>
        <v>'TSLA',</v>
      </c>
      <c r="J873" t="str">
        <f t="shared" si="96"/>
        <v>803.15,</v>
      </c>
      <c r="K873" t="str">
        <f t="shared" si="97"/>
        <v>'BUY',</v>
      </c>
      <c r="L873" t="str">
        <f t="shared" si="98"/>
        <v>'2024-02-03 06:58:00'),</v>
      </c>
      <c r="M873" t="str">
        <f t="shared" si="99"/>
        <v>(9952,354,'TSLA',803.15,'BUY','2024-02-03 06:58:00'),</v>
      </c>
    </row>
    <row r="874" spans="1:13" x14ac:dyDescent="0.2">
      <c r="A874">
        <v>4168</v>
      </c>
      <c r="B874">
        <v>303</v>
      </c>
      <c r="C874" t="s">
        <v>1066</v>
      </c>
      <c r="D874" t="s">
        <v>1936</v>
      </c>
      <c r="E874" t="s">
        <v>1068</v>
      </c>
      <c r="F874" s="8" t="s">
        <v>2933</v>
      </c>
      <c r="G874" t="str">
        <f t="shared" si="93"/>
        <v>(4168,</v>
      </c>
      <c r="H874" t="str">
        <f t="shared" si="94"/>
        <v>303,</v>
      </c>
      <c r="I874" t="str">
        <f t="shared" si="95"/>
        <v>'AMZN',</v>
      </c>
      <c r="J874" t="str">
        <f t="shared" si="96"/>
        <v>896.51,</v>
      </c>
      <c r="K874" t="str">
        <f t="shared" si="97"/>
        <v>'BUY',</v>
      </c>
      <c r="L874" t="str">
        <f t="shared" si="98"/>
        <v>'2024-04-12 12:45:00'),</v>
      </c>
      <c r="M874" t="str">
        <f t="shared" si="99"/>
        <v>(4168,303,'AMZN',896.51,'BUY','2024-04-12 12:45:00'),</v>
      </c>
    </row>
    <row r="875" spans="1:13" x14ac:dyDescent="0.2">
      <c r="A875">
        <v>7922</v>
      </c>
      <c r="B875">
        <v>680</v>
      </c>
      <c r="C875" t="s">
        <v>1063</v>
      </c>
      <c r="D875" t="s">
        <v>1937</v>
      </c>
      <c r="E875" t="s">
        <v>1062</v>
      </c>
      <c r="F875" s="8" t="s">
        <v>2934</v>
      </c>
      <c r="G875" t="str">
        <f t="shared" si="93"/>
        <v>(7922,</v>
      </c>
      <c r="H875" t="str">
        <f t="shared" si="94"/>
        <v>680,</v>
      </c>
      <c r="I875" t="str">
        <f t="shared" si="95"/>
        <v>'META',</v>
      </c>
      <c r="J875" t="str">
        <f t="shared" si="96"/>
        <v>811.65,</v>
      </c>
      <c r="K875" t="str">
        <f t="shared" si="97"/>
        <v>'SELL',</v>
      </c>
      <c r="L875" t="str">
        <f t="shared" si="98"/>
        <v>'2024-03-22 03:55:00'),</v>
      </c>
      <c r="M875" t="str">
        <f t="shared" si="99"/>
        <v>(7922,680,'META',811.65,'SELL','2024-03-22 03:55:00'),</v>
      </c>
    </row>
    <row r="876" spans="1:13" x14ac:dyDescent="0.2">
      <c r="A876">
        <v>5705</v>
      </c>
      <c r="B876">
        <v>114</v>
      </c>
      <c r="C876" t="s">
        <v>1063</v>
      </c>
      <c r="D876" t="s">
        <v>1938</v>
      </c>
      <c r="E876" t="s">
        <v>1062</v>
      </c>
      <c r="F876" s="8" t="s">
        <v>2935</v>
      </c>
      <c r="G876" t="str">
        <f t="shared" si="93"/>
        <v>(5705,</v>
      </c>
      <c r="H876" t="str">
        <f t="shared" si="94"/>
        <v>114,</v>
      </c>
      <c r="I876" t="str">
        <f t="shared" si="95"/>
        <v>'META',</v>
      </c>
      <c r="J876" t="str">
        <f t="shared" si="96"/>
        <v>483.07,</v>
      </c>
      <c r="K876" t="str">
        <f t="shared" si="97"/>
        <v>'SELL',</v>
      </c>
      <c r="L876" t="str">
        <f t="shared" si="98"/>
        <v>'2024-01-23 22:49:00'),</v>
      </c>
      <c r="M876" t="str">
        <f t="shared" si="99"/>
        <v>(5705,114,'META',483.07,'SELL','2024-01-23 22:49:00'),</v>
      </c>
    </row>
    <row r="877" spans="1:13" x14ac:dyDescent="0.2">
      <c r="A877">
        <v>7922</v>
      </c>
      <c r="B877">
        <v>966</v>
      </c>
      <c r="C877" t="s">
        <v>1063</v>
      </c>
      <c r="D877" t="s">
        <v>1939</v>
      </c>
      <c r="E877" t="s">
        <v>1068</v>
      </c>
      <c r="F877" s="8" t="s">
        <v>2936</v>
      </c>
      <c r="G877" t="str">
        <f t="shared" si="93"/>
        <v>(7922,</v>
      </c>
      <c r="H877" t="str">
        <f t="shared" si="94"/>
        <v>966,</v>
      </c>
      <c r="I877" t="str">
        <f t="shared" si="95"/>
        <v>'META',</v>
      </c>
      <c r="J877" t="str">
        <f t="shared" si="96"/>
        <v>530.3,</v>
      </c>
      <c r="K877" t="str">
        <f t="shared" si="97"/>
        <v>'BUY',</v>
      </c>
      <c r="L877" t="str">
        <f t="shared" si="98"/>
        <v>'2024-05-30 02:38:00'),</v>
      </c>
      <c r="M877" t="str">
        <f t="shared" si="99"/>
        <v>(7922,966,'META',530.3,'BUY','2024-05-30 02:38:00'),</v>
      </c>
    </row>
    <row r="878" spans="1:13" x14ac:dyDescent="0.2">
      <c r="A878">
        <v>7938</v>
      </c>
      <c r="B878">
        <v>236</v>
      </c>
      <c r="C878" t="s">
        <v>1060</v>
      </c>
      <c r="D878" t="s">
        <v>1940</v>
      </c>
      <c r="E878" t="s">
        <v>1068</v>
      </c>
      <c r="F878" s="8" t="s">
        <v>2937</v>
      </c>
      <c r="G878" t="str">
        <f t="shared" si="93"/>
        <v>(7938,</v>
      </c>
      <c r="H878" t="str">
        <f t="shared" si="94"/>
        <v>236,</v>
      </c>
      <c r="I878" t="str">
        <f t="shared" si="95"/>
        <v>'TSLA',</v>
      </c>
      <c r="J878" t="str">
        <f t="shared" si="96"/>
        <v>411.94,</v>
      </c>
      <c r="K878" t="str">
        <f t="shared" si="97"/>
        <v>'BUY',</v>
      </c>
      <c r="L878" t="str">
        <f t="shared" si="98"/>
        <v>'2024-05-08 08:38:00'),</v>
      </c>
      <c r="M878" t="str">
        <f t="shared" si="99"/>
        <v>(7938,236,'TSLA',411.94,'BUY','2024-05-08 08:38:00'),</v>
      </c>
    </row>
    <row r="879" spans="1:13" x14ac:dyDescent="0.2">
      <c r="A879">
        <v>5258</v>
      </c>
      <c r="B879">
        <v>747</v>
      </c>
      <c r="C879" t="s">
        <v>1069</v>
      </c>
      <c r="D879" t="s">
        <v>1941</v>
      </c>
      <c r="E879" t="s">
        <v>1062</v>
      </c>
      <c r="F879" s="8" t="s">
        <v>2938</v>
      </c>
      <c r="G879" t="str">
        <f t="shared" si="93"/>
        <v>(5258,</v>
      </c>
      <c r="H879" t="str">
        <f t="shared" si="94"/>
        <v>747,</v>
      </c>
      <c r="I879" t="str">
        <f t="shared" si="95"/>
        <v>'MSFT',</v>
      </c>
      <c r="J879" t="str">
        <f t="shared" si="96"/>
        <v>623.85,</v>
      </c>
      <c r="K879" t="str">
        <f t="shared" si="97"/>
        <v>'SELL',</v>
      </c>
      <c r="L879" t="str">
        <f t="shared" si="98"/>
        <v>'2024-03-02 23:55:00'),</v>
      </c>
      <c r="M879" t="str">
        <f t="shared" si="99"/>
        <v>(5258,747,'MSFT',623.85,'SELL','2024-03-02 23:55:00'),</v>
      </c>
    </row>
    <row r="880" spans="1:13" x14ac:dyDescent="0.2">
      <c r="A880">
        <v>5751</v>
      </c>
      <c r="B880">
        <v>420</v>
      </c>
      <c r="C880" t="s">
        <v>1069</v>
      </c>
      <c r="D880" t="s">
        <v>1942</v>
      </c>
      <c r="E880" t="s">
        <v>1062</v>
      </c>
      <c r="F880" s="8" t="s">
        <v>2939</v>
      </c>
      <c r="G880" t="str">
        <f t="shared" si="93"/>
        <v>(5751,</v>
      </c>
      <c r="H880" t="str">
        <f t="shared" si="94"/>
        <v>420,</v>
      </c>
      <c r="I880" t="str">
        <f t="shared" si="95"/>
        <v>'MSFT',</v>
      </c>
      <c r="J880" t="str">
        <f t="shared" si="96"/>
        <v>130.0,</v>
      </c>
      <c r="K880" t="str">
        <f t="shared" si="97"/>
        <v>'SELL',</v>
      </c>
      <c r="L880" t="str">
        <f t="shared" si="98"/>
        <v>'2024-01-12 05:25:00'),</v>
      </c>
      <c r="M880" t="str">
        <f t="shared" si="99"/>
        <v>(5751,420,'MSFT',130.0,'SELL','2024-01-12 05:25:00'),</v>
      </c>
    </row>
    <row r="881" spans="1:13" x14ac:dyDescent="0.2">
      <c r="A881">
        <v>5258</v>
      </c>
      <c r="B881">
        <v>266</v>
      </c>
      <c r="C881" t="s">
        <v>1060</v>
      </c>
      <c r="D881" t="s">
        <v>1943</v>
      </c>
      <c r="E881" t="s">
        <v>1062</v>
      </c>
      <c r="F881" s="8" t="s">
        <v>2940</v>
      </c>
      <c r="G881" t="str">
        <f t="shared" si="93"/>
        <v>(5258,</v>
      </c>
      <c r="H881" t="str">
        <f t="shared" si="94"/>
        <v>266,</v>
      </c>
      <c r="I881" t="str">
        <f t="shared" si="95"/>
        <v>'TSLA',</v>
      </c>
      <c r="J881" t="str">
        <f t="shared" si="96"/>
        <v>451.35,</v>
      </c>
      <c r="K881" t="str">
        <f t="shared" si="97"/>
        <v>'SELL',</v>
      </c>
      <c r="L881" t="str">
        <f t="shared" si="98"/>
        <v>'2024-03-01 06:52:00'),</v>
      </c>
      <c r="M881" t="str">
        <f t="shared" si="99"/>
        <v>(5258,266,'TSLA',451.35,'SELL','2024-03-01 06:52:00'),</v>
      </c>
    </row>
    <row r="882" spans="1:13" x14ac:dyDescent="0.2">
      <c r="A882">
        <v>7922</v>
      </c>
      <c r="B882">
        <v>899</v>
      </c>
      <c r="C882" t="s">
        <v>1063</v>
      </c>
      <c r="D882" t="s">
        <v>1944</v>
      </c>
      <c r="E882" t="s">
        <v>1068</v>
      </c>
      <c r="F882" s="8" t="s">
        <v>2941</v>
      </c>
      <c r="G882" t="str">
        <f t="shared" si="93"/>
        <v>(7922,</v>
      </c>
      <c r="H882" t="str">
        <f t="shared" si="94"/>
        <v>899,</v>
      </c>
      <c r="I882" t="str">
        <f t="shared" si="95"/>
        <v>'META',</v>
      </c>
      <c r="J882" t="str">
        <f t="shared" si="96"/>
        <v>329.31,</v>
      </c>
      <c r="K882" t="str">
        <f t="shared" si="97"/>
        <v>'BUY',</v>
      </c>
      <c r="L882" t="str">
        <f t="shared" si="98"/>
        <v>'2024-04-07 20:58:00'),</v>
      </c>
      <c r="M882" t="str">
        <f t="shared" si="99"/>
        <v>(7922,899,'META',329.31,'BUY','2024-04-07 20:58:00'),</v>
      </c>
    </row>
    <row r="883" spans="1:13" x14ac:dyDescent="0.2">
      <c r="A883">
        <v>5258</v>
      </c>
      <c r="B883">
        <v>529</v>
      </c>
      <c r="C883" t="s">
        <v>1069</v>
      </c>
      <c r="D883" t="s">
        <v>1945</v>
      </c>
      <c r="E883" t="s">
        <v>1062</v>
      </c>
      <c r="F883" s="8" t="s">
        <v>2942</v>
      </c>
      <c r="G883" t="str">
        <f t="shared" si="93"/>
        <v>(5258,</v>
      </c>
      <c r="H883" t="str">
        <f t="shared" si="94"/>
        <v>529,</v>
      </c>
      <c r="I883" t="str">
        <f t="shared" si="95"/>
        <v>'MSFT',</v>
      </c>
      <c r="J883" t="str">
        <f t="shared" si="96"/>
        <v>574.87,</v>
      </c>
      <c r="K883" t="str">
        <f t="shared" si="97"/>
        <v>'SELL',</v>
      </c>
      <c r="L883" t="str">
        <f t="shared" si="98"/>
        <v>'2024-01-23 05:33:00'),</v>
      </c>
      <c r="M883" t="str">
        <f t="shared" si="99"/>
        <v>(5258,529,'MSFT',574.87,'SELL','2024-01-23 05:33:00'),</v>
      </c>
    </row>
    <row r="884" spans="1:13" x14ac:dyDescent="0.2">
      <c r="A884">
        <v>7531</v>
      </c>
      <c r="B884">
        <v>134</v>
      </c>
      <c r="C884" t="s">
        <v>1060</v>
      </c>
      <c r="D884" t="s">
        <v>1946</v>
      </c>
      <c r="E884" t="s">
        <v>1062</v>
      </c>
      <c r="F884" s="8" t="s">
        <v>2943</v>
      </c>
      <c r="G884" t="str">
        <f t="shared" si="93"/>
        <v>(7531,</v>
      </c>
      <c r="H884" t="str">
        <f t="shared" si="94"/>
        <v>134,</v>
      </c>
      <c r="I884" t="str">
        <f t="shared" si="95"/>
        <v>'TSLA',</v>
      </c>
      <c r="J884" t="str">
        <f t="shared" si="96"/>
        <v>354.86,</v>
      </c>
      <c r="K884" t="str">
        <f t="shared" si="97"/>
        <v>'SELL',</v>
      </c>
      <c r="L884" t="str">
        <f t="shared" si="98"/>
        <v>'2024-02-03 08:29:00'),</v>
      </c>
      <c r="M884" t="str">
        <f t="shared" si="99"/>
        <v>(7531,134,'TSLA',354.86,'SELL','2024-02-03 08:29:00'),</v>
      </c>
    </row>
    <row r="885" spans="1:13" x14ac:dyDescent="0.2">
      <c r="A885">
        <v>6298</v>
      </c>
      <c r="B885">
        <v>373</v>
      </c>
      <c r="C885" t="s">
        <v>1063</v>
      </c>
      <c r="D885" t="s">
        <v>1947</v>
      </c>
      <c r="E885" t="s">
        <v>1068</v>
      </c>
      <c r="F885" s="8" t="s">
        <v>2944</v>
      </c>
      <c r="G885" t="str">
        <f t="shared" si="93"/>
        <v>(6298,</v>
      </c>
      <c r="H885" t="str">
        <f t="shared" si="94"/>
        <v>373,</v>
      </c>
      <c r="I885" t="str">
        <f t="shared" si="95"/>
        <v>'META',</v>
      </c>
      <c r="J885" t="str">
        <f t="shared" si="96"/>
        <v>876.08,</v>
      </c>
      <c r="K885" t="str">
        <f t="shared" si="97"/>
        <v>'BUY',</v>
      </c>
      <c r="L885" t="str">
        <f t="shared" si="98"/>
        <v>'2024-03-31 14:15:00'),</v>
      </c>
      <c r="M885" t="str">
        <f t="shared" si="99"/>
        <v>(6298,373,'META',876.08,'BUY','2024-03-31 14:15:00'),</v>
      </c>
    </row>
    <row r="886" spans="1:13" x14ac:dyDescent="0.2">
      <c r="A886">
        <v>7531</v>
      </c>
      <c r="B886">
        <v>285</v>
      </c>
      <c r="C886" t="s">
        <v>1066</v>
      </c>
      <c r="D886" t="s">
        <v>1948</v>
      </c>
      <c r="E886" t="s">
        <v>1068</v>
      </c>
      <c r="F886" s="8" t="s">
        <v>2945</v>
      </c>
      <c r="G886" t="str">
        <f t="shared" si="93"/>
        <v>(7531,</v>
      </c>
      <c r="H886" t="str">
        <f t="shared" si="94"/>
        <v>285,</v>
      </c>
      <c r="I886" t="str">
        <f t="shared" si="95"/>
        <v>'AMZN',</v>
      </c>
      <c r="J886" t="str">
        <f t="shared" si="96"/>
        <v>955.91,</v>
      </c>
      <c r="K886" t="str">
        <f t="shared" si="97"/>
        <v>'BUY',</v>
      </c>
      <c r="L886" t="str">
        <f t="shared" si="98"/>
        <v>'2024-03-07 06:17:00'),</v>
      </c>
      <c r="M886" t="str">
        <f t="shared" si="99"/>
        <v>(7531,285,'AMZN',955.91,'BUY','2024-03-07 06:17:00'),</v>
      </c>
    </row>
    <row r="887" spans="1:13" x14ac:dyDescent="0.2">
      <c r="A887">
        <v>5297</v>
      </c>
      <c r="B887">
        <v>404</v>
      </c>
      <c r="C887" t="s">
        <v>1066</v>
      </c>
      <c r="D887" t="s">
        <v>1949</v>
      </c>
      <c r="E887" t="s">
        <v>1062</v>
      </c>
      <c r="F887" s="8" t="s">
        <v>2946</v>
      </c>
      <c r="G887" t="str">
        <f t="shared" si="93"/>
        <v>(5297,</v>
      </c>
      <c r="H887" t="str">
        <f t="shared" si="94"/>
        <v>404,</v>
      </c>
      <c r="I887" t="str">
        <f t="shared" si="95"/>
        <v>'AMZN',</v>
      </c>
      <c r="J887" t="str">
        <f t="shared" si="96"/>
        <v>586.99,</v>
      </c>
      <c r="K887" t="str">
        <f t="shared" si="97"/>
        <v>'SELL',</v>
      </c>
      <c r="L887" t="str">
        <f t="shared" si="98"/>
        <v>'2024-05-16 04:10:00'),</v>
      </c>
      <c r="M887" t="str">
        <f t="shared" si="99"/>
        <v>(5297,404,'AMZN',586.99,'SELL','2024-05-16 04:10:00'),</v>
      </c>
    </row>
    <row r="888" spans="1:13" x14ac:dyDescent="0.2">
      <c r="A888">
        <v>5258</v>
      </c>
      <c r="B888">
        <v>68</v>
      </c>
      <c r="C888" t="s">
        <v>1069</v>
      </c>
      <c r="D888" t="s">
        <v>1950</v>
      </c>
      <c r="E888" t="s">
        <v>1068</v>
      </c>
      <c r="F888" s="8" t="s">
        <v>2947</v>
      </c>
      <c r="G888" t="str">
        <f t="shared" si="93"/>
        <v>(5258,</v>
      </c>
      <c r="H888" t="str">
        <f t="shared" si="94"/>
        <v>68,</v>
      </c>
      <c r="I888" t="str">
        <f t="shared" si="95"/>
        <v>'MSFT',</v>
      </c>
      <c r="J888" t="str">
        <f t="shared" si="96"/>
        <v>126.23,</v>
      </c>
      <c r="K888" t="str">
        <f t="shared" si="97"/>
        <v>'BUY',</v>
      </c>
      <c r="L888" t="str">
        <f t="shared" si="98"/>
        <v>'2024-05-18 08:26:00'),</v>
      </c>
      <c r="M888" t="str">
        <f t="shared" si="99"/>
        <v>(5258,68,'MSFT',126.23,'BUY','2024-05-18 08:26:00'),</v>
      </c>
    </row>
    <row r="889" spans="1:13" x14ac:dyDescent="0.2">
      <c r="A889">
        <v>4669</v>
      </c>
      <c r="B889">
        <v>281</v>
      </c>
      <c r="C889" t="s">
        <v>1066</v>
      </c>
      <c r="D889" t="s">
        <v>1951</v>
      </c>
      <c r="E889" t="s">
        <v>1062</v>
      </c>
      <c r="F889" s="8" t="s">
        <v>2948</v>
      </c>
      <c r="G889" t="str">
        <f t="shared" si="93"/>
        <v>(4669,</v>
      </c>
      <c r="H889" t="str">
        <f t="shared" si="94"/>
        <v>281,</v>
      </c>
      <c r="I889" t="str">
        <f t="shared" si="95"/>
        <v>'AMZN',</v>
      </c>
      <c r="J889" t="str">
        <f t="shared" si="96"/>
        <v>281.5,</v>
      </c>
      <c r="K889" t="str">
        <f t="shared" si="97"/>
        <v>'SELL',</v>
      </c>
      <c r="L889" t="str">
        <f t="shared" si="98"/>
        <v>'2024-04-08 17:16:00'),</v>
      </c>
      <c r="M889" t="str">
        <f t="shared" si="99"/>
        <v>(4669,281,'AMZN',281.5,'SELL','2024-04-08 17:16:00'),</v>
      </c>
    </row>
    <row r="890" spans="1:13" x14ac:dyDescent="0.2">
      <c r="A890">
        <v>4710</v>
      </c>
      <c r="B890">
        <v>175</v>
      </c>
      <c r="C890" t="s">
        <v>1069</v>
      </c>
      <c r="D890" t="s">
        <v>1952</v>
      </c>
      <c r="E890" t="s">
        <v>1062</v>
      </c>
      <c r="F890" s="8" t="s">
        <v>2949</v>
      </c>
      <c r="G890" t="str">
        <f t="shared" si="93"/>
        <v>(4710,</v>
      </c>
      <c r="H890" t="str">
        <f t="shared" si="94"/>
        <v>175,</v>
      </c>
      <c r="I890" t="str">
        <f t="shared" si="95"/>
        <v>'MSFT',</v>
      </c>
      <c r="J890" t="str">
        <f t="shared" si="96"/>
        <v>332.52,</v>
      </c>
      <c r="K890" t="str">
        <f t="shared" si="97"/>
        <v>'SELL',</v>
      </c>
      <c r="L890" t="str">
        <f t="shared" si="98"/>
        <v>'2024-03-13 20:39:00'),</v>
      </c>
      <c r="M890" t="str">
        <f t="shared" si="99"/>
        <v>(4710,175,'MSFT',332.52,'SELL','2024-03-13 20:39:00'),</v>
      </c>
    </row>
    <row r="891" spans="1:13" x14ac:dyDescent="0.2">
      <c r="A891">
        <v>5258</v>
      </c>
      <c r="B891">
        <v>625</v>
      </c>
      <c r="C891" t="s">
        <v>1069</v>
      </c>
      <c r="D891" t="s">
        <v>1953</v>
      </c>
      <c r="E891" t="s">
        <v>1062</v>
      </c>
      <c r="F891" s="8" t="s">
        <v>2950</v>
      </c>
      <c r="G891" t="str">
        <f t="shared" si="93"/>
        <v>(5258,</v>
      </c>
      <c r="H891" t="str">
        <f t="shared" si="94"/>
        <v>625,</v>
      </c>
      <c r="I891" t="str">
        <f t="shared" si="95"/>
        <v>'MSFT',</v>
      </c>
      <c r="J891" t="str">
        <f t="shared" si="96"/>
        <v>159.09,</v>
      </c>
      <c r="K891" t="str">
        <f t="shared" si="97"/>
        <v>'SELL',</v>
      </c>
      <c r="L891" t="str">
        <f t="shared" si="98"/>
        <v>'2024-04-17 10:30:00'),</v>
      </c>
      <c r="M891" t="str">
        <f t="shared" si="99"/>
        <v>(5258,625,'MSFT',159.09,'SELL','2024-04-17 10:30:00'),</v>
      </c>
    </row>
    <row r="892" spans="1:13" x14ac:dyDescent="0.2">
      <c r="A892">
        <v>5258</v>
      </c>
      <c r="B892">
        <v>760</v>
      </c>
      <c r="C892" t="s">
        <v>1063</v>
      </c>
      <c r="D892" t="s">
        <v>1954</v>
      </c>
      <c r="E892" t="s">
        <v>1068</v>
      </c>
      <c r="F892" s="8" t="s">
        <v>2951</v>
      </c>
      <c r="G892" t="str">
        <f t="shared" si="93"/>
        <v>(5258,</v>
      </c>
      <c r="H892" t="str">
        <f t="shared" si="94"/>
        <v>760,</v>
      </c>
      <c r="I892" t="str">
        <f t="shared" si="95"/>
        <v>'META',</v>
      </c>
      <c r="J892" t="str">
        <f t="shared" si="96"/>
        <v>936.69,</v>
      </c>
      <c r="K892" t="str">
        <f t="shared" si="97"/>
        <v>'BUY',</v>
      </c>
      <c r="L892" t="str">
        <f t="shared" si="98"/>
        <v>'2024-03-23 05:23:00'),</v>
      </c>
      <c r="M892" t="str">
        <f t="shared" si="99"/>
        <v>(5258,760,'META',936.69,'BUY','2024-03-23 05:23:00'),</v>
      </c>
    </row>
    <row r="893" spans="1:13" x14ac:dyDescent="0.2">
      <c r="A893">
        <v>6298</v>
      </c>
      <c r="B893">
        <v>311</v>
      </c>
      <c r="C893" t="s">
        <v>1069</v>
      </c>
      <c r="D893" t="s">
        <v>1955</v>
      </c>
      <c r="E893" t="s">
        <v>1068</v>
      </c>
      <c r="F893" s="8" t="s">
        <v>2952</v>
      </c>
      <c r="G893" t="str">
        <f t="shared" si="93"/>
        <v>(6298,</v>
      </c>
      <c r="H893" t="str">
        <f t="shared" si="94"/>
        <v>311,</v>
      </c>
      <c r="I893" t="str">
        <f t="shared" si="95"/>
        <v>'MSFT',</v>
      </c>
      <c r="J893" t="str">
        <f t="shared" si="96"/>
        <v>885.56,</v>
      </c>
      <c r="K893" t="str">
        <f t="shared" si="97"/>
        <v>'BUY',</v>
      </c>
      <c r="L893" t="str">
        <f t="shared" si="98"/>
        <v>'2024-03-10 16:32:00'),</v>
      </c>
      <c r="M893" t="str">
        <f t="shared" si="99"/>
        <v>(6298,311,'MSFT',885.56,'BUY','2024-03-10 16:32:00'),</v>
      </c>
    </row>
    <row r="894" spans="1:13" x14ac:dyDescent="0.2">
      <c r="A894">
        <v>4710</v>
      </c>
      <c r="B894">
        <v>748</v>
      </c>
      <c r="C894" t="s">
        <v>1069</v>
      </c>
      <c r="D894" t="s">
        <v>1956</v>
      </c>
      <c r="E894" t="s">
        <v>1062</v>
      </c>
      <c r="F894" s="8" t="s">
        <v>2953</v>
      </c>
      <c r="G894" t="str">
        <f t="shared" si="93"/>
        <v>(4710,</v>
      </c>
      <c r="H894" t="str">
        <f t="shared" si="94"/>
        <v>748,</v>
      </c>
      <c r="I894" t="str">
        <f t="shared" si="95"/>
        <v>'MSFT',</v>
      </c>
      <c r="J894" t="str">
        <f t="shared" si="96"/>
        <v>878.85,</v>
      </c>
      <c r="K894" t="str">
        <f t="shared" si="97"/>
        <v>'SELL',</v>
      </c>
      <c r="L894" t="str">
        <f t="shared" si="98"/>
        <v>'2024-03-16 01:42:00'),</v>
      </c>
      <c r="M894" t="str">
        <f t="shared" si="99"/>
        <v>(4710,748,'MSFT',878.85,'SELL','2024-03-16 01:42:00'),</v>
      </c>
    </row>
    <row r="895" spans="1:13" x14ac:dyDescent="0.2">
      <c r="A895">
        <v>4669</v>
      </c>
      <c r="B895">
        <v>471</v>
      </c>
      <c r="C895" t="s">
        <v>1060</v>
      </c>
      <c r="D895" t="s">
        <v>1957</v>
      </c>
      <c r="E895" t="s">
        <v>1062</v>
      </c>
      <c r="F895" s="8" t="s">
        <v>2954</v>
      </c>
      <c r="G895" t="str">
        <f t="shared" si="93"/>
        <v>(4669,</v>
      </c>
      <c r="H895" t="str">
        <f t="shared" si="94"/>
        <v>471,</v>
      </c>
      <c r="I895" t="str">
        <f t="shared" si="95"/>
        <v>'TSLA',</v>
      </c>
      <c r="J895" t="str">
        <f t="shared" si="96"/>
        <v>734.01,</v>
      </c>
      <c r="K895" t="str">
        <f t="shared" si="97"/>
        <v>'SELL',</v>
      </c>
      <c r="L895" t="str">
        <f t="shared" si="98"/>
        <v>'2024-03-11 03:08:00'),</v>
      </c>
      <c r="M895" t="str">
        <f t="shared" si="99"/>
        <v>(4669,471,'TSLA',734.01,'SELL','2024-03-11 03:08:00'),</v>
      </c>
    </row>
    <row r="896" spans="1:13" x14ac:dyDescent="0.2">
      <c r="A896">
        <v>6298</v>
      </c>
      <c r="B896">
        <v>984</v>
      </c>
      <c r="C896" t="s">
        <v>1069</v>
      </c>
      <c r="D896" t="s">
        <v>1958</v>
      </c>
      <c r="E896" t="s">
        <v>1062</v>
      </c>
      <c r="F896" s="8" t="s">
        <v>2955</v>
      </c>
      <c r="G896" t="str">
        <f t="shared" si="93"/>
        <v>(6298,</v>
      </c>
      <c r="H896" t="str">
        <f t="shared" si="94"/>
        <v>984,</v>
      </c>
      <c r="I896" t="str">
        <f t="shared" si="95"/>
        <v>'MSFT',</v>
      </c>
      <c r="J896" t="str">
        <f t="shared" si="96"/>
        <v>601.05,</v>
      </c>
      <c r="K896" t="str">
        <f t="shared" si="97"/>
        <v>'SELL',</v>
      </c>
      <c r="L896" t="str">
        <f t="shared" si="98"/>
        <v>'2024-02-04 17:21:00'),</v>
      </c>
      <c r="M896" t="str">
        <f t="shared" si="99"/>
        <v>(6298,984,'MSFT',601.05,'SELL','2024-02-04 17:21:00'),</v>
      </c>
    </row>
    <row r="897" spans="1:13" x14ac:dyDescent="0.2">
      <c r="A897">
        <v>6298</v>
      </c>
      <c r="B897">
        <v>294</v>
      </c>
      <c r="C897" t="s">
        <v>1060</v>
      </c>
      <c r="D897" t="s">
        <v>1959</v>
      </c>
      <c r="E897" t="s">
        <v>1068</v>
      </c>
      <c r="F897" s="8" t="s">
        <v>2956</v>
      </c>
      <c r="G897" t="str">
        <f t="shared" si="93"/>
        <v>(6298,</v>
      </c>
      <c r="H897" t="str">
        <f t="shared" si="94"/>
        <v>294,</v>
      </c>
      <c r="I897" t="str">
        <f t="shared" si="95"/>
        <v>'TSLA',</v>
      </c>
      <c r="J897" t="str">
        <f t="shared" si="96"/>
        <v>219.6,</v>
      </c>
      <c r="K897" t="str">
        <f t="shared" si="97"/>
        <v>'BUY',</v>
      </c>
      <c r="L897" t="str">
        <f t="shared" si="98"/>
        <v>'2024-04-07 16:38:00'),</v>
      </c>
      <c r="M897" t="str">
        <f t="shared" si="99"/>
        <v>(6298,294,'TSLA',219.6,'BUY','2024-04-07 16:38:00'),</v>
      </c>
    </row>
    <row r="898" spans="1:13" x14ac:dyDescent="0.2">
      <c r="A898">
        <v>5258</v>
      </c>
      <c r="B898">
        <v>555</v>
      </c>
      <c r="C898" t="s">
        <v>1066</v>
      </c>
      <c r="D898" t="s">
        <v>1960</v>
      </c>
      <c r="E898" t="s">
        <v>1062</v>
      </c>
      <c r="F898" s="8" t="s">
        <v>2957</v>
      </c>
      <c r="G898" t="str">
        <f t="shared" si="93"/>
        <v>(5258,</v>
      </c>
      <c r="H898" t="str">
        <f t="shared" si="94"/>
        <v>555,</v>
      </c>
      <c r="I898" t="str">
        <f t="shared" si="95"/>
        <v>'AMZN',</v>
      </c>
      <c r="J898" t="str">
        <f t="shared" si="96"/>
        <v>812.01,</v>
      </c>
      <c r="K898" t="str">
        <f t="shared" si="97"/>
        <v>'SELL',</v>
      </c>
      <c r="L898" t="str">
        <f t="shared" si="98"/>
        <v>'2024-01-31 23:20:00'),</v>
      </c>
      <c r="M898" t="str">
        <f t="shared" si="99"/>
        <v>(5258,555,'AMZN',812.01,'SELL','2024-01-31 23:20:00'),</v>
      </c>
    </row>
    <row r="899" spans="1:13" x14ac:dyDescent="0.2">
      <c r="A899">
        <v>9094</v>
      </c>
      <c r="B899">
        <v>589</v>
      </c>
      <c r="C899" t="s">
        <v>1063</v>
      </c>
      <c r="D899" t="s">
        <v>1961</v>
      </c>
      <c r="E899" t="s">
        <v>1062</v>
      </c>
      <c r="F899" s="8" t="s">
        <v>2958</v>
      </c>
      <c r="G899" t="str">
        <f t="shared" ref="G899:G962" si="100">"("&amp;A899&amp;","</f>
        <v>(9094,</v>
      </c>
      <c r="H899" t="str">
        <f t="shared" ref="H899:H962" si="101">B899&amp;","</f>
        <v>589,</v>
      </c>
      <c r="I899" t="str">
        <f t="shared" ref="I899:I962" si="102">"'"&amp;C899&amp;"',"</f>
        <v>'META',</v>
      </c>
      <c r="J899" t="str">
        <f t="shared" ref="J899:J962" si="103">D899&amp;","</f>
        <v>410.11,</v>
      </c>
      <c r="K899" t="str">
        <f t="shared" ref="K899:K962" si="104">"'"&amp;E899&amp;"',"</f>
        <v>'SELL',</v>
      </c>
      <c r="L899" t="str">
        <f t="shared" ref="L899:L962" si="105">"'"&amp;F899&amp;"'),"</f>
        <v>'2024-01-31 21:31:00'),</v>
      </c>
      <c r="M899" t="str">
        <f t="shared" ref="M899:M962" si="106">G899&amp;H899&amp;I899&amp;J899&amp;K899&amp;L899</f>
        <v>(9094,589,'META',410.11,'SELL','2024-01-31 21:31:00'),</v>
      </c>
    </row>
    <row r="900" spans="1:13" x14ac:dyDescent="0.2">
      <c r="A900">
        <v>5258</v>
      </c>
      <c r="B900">
        <v>715</v>
      </c>
      <c r="C900" t="s">
        <v>1066</v>
      </c>
      <c r="D900" t="s">
        <v>1962</v>
      </c>
      <c r="E900" t="s">
        <v>1062</v>
      </c>
      <c r="F900" s="8" t="s">
        <v>2959</v>
      </c>
      <c r="G900" t="str">
        <f t="shared" si="100"/>
        <v>(5258,</v>
      </c>
      <c r="H900" t="str">
        <f t="shared" si="101"/>
        <v>715,</v>
      </c>
      <c r="I900" t="str">
        <f t="shared" si="102"/>
        <v>'AMZN',</v>
      </c>
      <c r="J900" t="str">
        <f t="shared" si="103"/>
        <v>480.34,</v>
      </c>
      <c r="K900" t="str">
        <f t="shared" si="104"/>
        <v>'SELL',</v>
      </c>
      <c r="L900" t="str">
        <f t="shared" si="105"/>
        <v>'2024-02-03 11:26:00'),</v>
      </c>
      <c r="M900" t="str">
        <f t="shared" si="106"/>
        <v>(5258,715,'AMZN',480.34,'SELL','2024-02-03 11:26:00'),</v>
      </c>
    </row>
    <row r="901" spans="1:13" x14ac:dyDescent="0.2">
      <c r="A901">
        <v>6298</v>
      </c>
      <c r="B901">
        <v>70</v>
      </c>
      <c r="C901" t="s">
        <v>1063</v>
      </c>
      <c r="D901" t="s">
        <v>1963</v>
      </c>
      <c r="E901" t="s">
        <v>1068</v>
      </c>
      <c r="F901" s="8" t="s">
        <v>2960</v>
      </c>
      <c r="G901" t="str">
        <f t="shared" si="100"/>
        <v>(6298,</v>
      </c>
      <c r="H901" t="str">
        <f t="shared" si="101"/>
        <v>70,</v>
      </c>
      <c r="I901" t="str">
        <f t="shared" si="102"/>
        <v>'META',</v>
      </c>
      <c r="J901" t="str">
        <f t="shared" si="103"/>
        <v>943.45,</v>
      </c>
      <c r="K901" t="str">
        <f t="shared" si="104"/>
        <v>'BUY',</v>
      </c>
      <c r="L901" t="str">
        <f t="shared" si="105"/>
        <v>'2024-04-01 18:47:00'),</v>
      </c>
      <c r="M901" t="str">
        <f t="shared" si="106"/>
        <v>(6298,70,'META',943.45,'BUY','2024-04-01 18:47:00'),</v>
      </c>
    </row>
    <row r="902" spans="1:13" x14ac:dyDescent="0.2">
      <c r="A902">
        <v>2941</v>
      </c>
      <c r="B902">
        <v>877</v>
      </c>
      <c r="C902" t="s">
        <v>1069</v>
      </c>
      <c r="D902" t="s">
        <v>1964</v>
      </c>
      <c r="E902" t="s">
        <v>1068</v>
      </c>
      <c r="F902" s="8" t="s">
        <v>2961</v>
      </c>
      <c r="G902" t="str">
        <f t="shared" si="100"/>
        <v>(2941,</v>
      </c>
      <c r="H902" t="str">
        <f t="shared" si="101"/>
        <v>877,</v>
      </c>
      <c r="I902" t="str">
        <f t="shared" si="102"/>
        <v>'MSFT',</v>
      </c>
      <c r="J902" t="str">
        <f t="shared" si="103"/>
        <v>256.16,</v>
      </c>
      <c r="K902" t="str">
        <f t="shared" si="104"/>
        <v>'BUY',</v>
      </c>
      <c r="L902" t="str">
        <f t="shared" si="105"/>
        <v>'2024-04-19 13:52:00'),</v>
      </c>
      <c r="M902" t="str">
        <f t="shared" si="106"/>
        <v>(2941,877,'MSFT',256.16,'BUY','2024-04-19 13:52:00'),</v>
      </c>
    </row>
    <row r="903" spans="1:13" x14ac:dyDescent="0.2">
      <c r="A903">
        <v>2941</v>
      </c>
      <c r="B903">
        <v>619</v>
      </c>
      <c r="C903" t="s">
        <v>1066</v>
      </c>
      <c r="D903" t="s">
        <v>1965</v>
      </c>
      <c r="E903" t="s">
        <v>1068</v>
      </c>
      <c r="F903" s="8" t="s">
        <v>2962</v>
      </c>
      <c r="G903" t="str">
        <f t="shared" si="100"/>
        <v>(2941,</v>
      </c>
      <c r="H903" t="str">
        <f t="shared" si="101"/>
        <v>619,</v>
      </c>
      <c r="I903" t="str">
        <f t="shared" si="102"/>
        <v>'AMZN',</v>
      </c>
      <c r="J903" t="str">
        <f t="shared" si="103"/>
        <v>943.86,</v>
      </c>
      <c r="K903" t="str">
        <f t="shared" si="104"/>
        <v>'BUY',</v>
      </c>
      <c r="L903" t="str">
        <f t="shared" si="105"/>
        <v>'2024-03-17 10:31:00'),</v>
      </c>
      <c r="M903" t="str">
        <f t="shared" si="106"/>
        <v>(2941,619,'AMZN',943.86,'BUY','2024-03-17 10:31:00'),</v>
      </c>
    </row>
    <row r="904" spans="1:13" x14ac:dyDescent="0.2">
      <c r="A904">
        <v>5297</v>
      </c>
      <c r="B904">
        <v>381</v>
      </c>
      <c r="C904" t="s">
        <v>1066</v>
      </c>
      <c r="D904" t="s">
        <v>1966</v>
      </c>
      <c r="E904" t="s">
        <v>1068</v>
      </c>
      <c r="F904" s="8" t="s">
        <v>2963</v>
      </c>
      <c r="G904" t="str">
        <f t="shared" si="100"/>
        <v>(5297,</v>
      </c>
      <c r="H904" t="str">
        <f t="shared" si="101"/>
        <v>381,</v>
      </c>
      <c r="I904" t="str">
        <f t="shared" si="102"/>
        <v>'AMZN',</v>
      </c>
      <c r="J904" t="str">
        <f t="shared" si="103"/>
        <v>888.51,</v>
      </c>
      <c r="K904" t="str">
        <f t="shared" si="104"/>
        <v>'BUY',</v>
      </c>
      <c r="L904" t="str">
        <f t="shared" si="105"/>
        <v>'2024-05-12 03:23:00'),</v>
      </c>
      <c r="M904" t="str">
        <f t="shared" si="106"/>
        <v>(5297,381,'AMZN',888.51,'BUY','2024-05-12 03:23:00'),</v>
      </c>
    </row>
    <row r="905" spans="1:13" x14ac:dyDescent="0.2">
      <c r="A905">
        <v>7938</v>
      </c>
      <c r="B905">
        <v>199</v>
      </c>
      <c r="C905" t="s">
        <v>1063</v>
      </c>
      <c r="D905" t="s">
        <v>1665</v>
      </c>
      <c r="E905" t="s">
        <v>1068</v>
      </c>
      <c r="F905" s="8" t="s">
        <v>2964</v>
      </c>
      <c r="G905" t="str">
        <f t="shared" si="100"/>
        <v>(7938,</v>
      </c>
      <c r="H905" t="str">
        <f t="shared" si="101"/>
        <v>199,</v>
      </c>
      <c r="I905" t="str">
        <f t="shared" si="102"/>
        <v>'META',</v>
      </c>
      <c r="J905" t="str">
        <f t="shared" si="103"/>
        <v>988.31,</v>
      </c>
      <c r="K905" t="str">
        <f t="shared" si="104"/>
        <v>'BUY',</v>
      </c>
      <c r="L905" t="str">
        <f t="shared" si="105"/>
        <v>'2024-02-25 11:12:00'),</v>
      </c>
      <c r="M905" t="str">
        <f t="shared" si="106"/>
        <v>(7938,199,'META',988.31,'BUY','2024-02-25 11:12:00'),</v>
      </c>
    </row>
    <row r="906" spans="1:13" x14ac:dyDescent="0.2">
      <c r="A906">
        <v>2941</v>
      </c>
      <c r="B906">
        <v>501</v>
      </c>
      <c r="C906" t="s">
        <v>1069</v>
      </c>
      <c r="D906" t="s">
        <v>1967</v>
      </c>
      <c r="E906" t="s">
        <v>1062</v>
      </c>
      <c r="F906" s="8" t="s">
        <v>2965</v>
      </c>
      <c r="G906" t="str">
        <f t="shared" si="100"/>
        <v>(2941,</v>
      </c>
      <c r="H906" t="str">
        <f t="shared" si="101"/>
        <v>501,</v>
      </c>
      <c r="I906" t="str">
        <f t="shared" si="102"/>
        <v>'MSFT',</v>
      </c>
      <c r="J906" t="str">
        <f t="shared" si="103"/>
        <v>526.68,</v>
      </c>
      <c r="K906" t="str">
        <f t="shared" si="104"/>
        <v>'SELL',</v>
      </c>
      <c r="L906" t="str">
        <f t="shared" si="105"/>
        <v>'2024-05-04 01:40:00'),</v>
      </c>
      <c r="M906" t="str">
        <f t="shared" si="106"/>
        <v>(2941,501,'MSFT',526.68,'SELL','2024-05-04 01:40:00'),</v>
      </c>
    </row>
    <row r="907" spans="1:13" x14ac:dyDescent="0.2">
      <c r="A907">
        <v>5751</v>
      </c>
      <c r="B907">
        <v>635</v>
      </c>
      <c r="C907" t="s">
        <v>1063</v>
      </c>
      <c r="D907" t="s">
        <v>1968</v>
      </c>
      <c r="E907" t="s">
        <v>1062</v>
      </c>
      <c r="F907" s="8" t="s">
        <v>2966</v>
      </c>
      <c r="G907" t="str">
        <f t="shared" si="100"/>
        <v>(5751,</v>
      </c>
      <c r="H907" t="str">
        <f t="shared" si="101"/>
        <v>635,</v>
      </c>
      <c r="I907" t="str">
        <f t="shared" si="102"/>
        <v>'META',</v>
      </c>
      <c r="J907" t="str">
        <f t="shared" si="103"/>
        <v>406.63,</v>
      </c>
      <c r="K907" t="str">
        <f t="shared" si="104"/>
        <v>'SELL',</v>
      </c>
      <c r="L907" t="str">
        <f t="shared" si="105"/>
        <v>'2024-04-20 22:57:00'),</v>
      </c>
      <c r="M907" t="str">
        <f t="shared" si="106"/>
        <v>(5751,635,'META',406.63,'SELL','2024-04-20 22:57:00'),</v>
      </c>
    </row>
    <row r="908" spans="1:13" x14ac:dyDescent="0.2">
      <c r="A908">
        <v>9952</v>
      </c>
      <c r="B908">
        <v>805</v>
      </c>
      <c r="C908" t="s">
        <v>1063</v>
      </c>
      <c r="D908" t="s">
        <v>1969</v>
      </c>
      <c r="E908" t="s">
        <v>1068</v>
      </c>
      <c r="F908" s="8" t="s">
        <v>2967</v>
      </c>
      <c r="G908" t="str">
        <f t="shared" si="100"/>
        <v>(9952,</v>
      </c>
      <c r="H908" t="str">
        <f t="shared" si="101"/>
        <v>805,</v>
      </c>
      <c r="I908" t="str">
        <f t="shared" si="102"/>
        <v>'META',</v>
      </c>
      <c r="J908" t="str">
        <f t="shared" si="103"/>
        <v>192.06,</v>
      </c>
      <c r="K908" t="str">
        <f t="shared" si="104"/>
        <v>'BUY',</v>
      </c>
      <c r="L908" t="str">
        <f t="shared" si="105"/>
        <v>'2024-01-03 19:02:00'),</v>
      </c>
      <c r="M908" t="str">
        <f t="shared" si="106"/>
        <v>(9952,805,'META',192.06,'BUY','2024-01-03 19:02:00'),</v>
      </c>
    </row>
    <row r="909" spans="1:13" x14ac:dyDescent="0.2">
      <c r="A909">
        <v>9094</v>
      </c>
      <c r="B909">
        <v>393</v>
      </c>
      <c r="C909" t="s">
        <v>1069</v>
      </c>
      <c r="D909" t="s">
        <v>1970</v>
      </c>
      <c r="E909" t="s">
        <v>1062</v>
      </c>
      <c r="F909" s="8" t="s">
        <v>2968</v>
      </c>
      <c r="G909" t="str">
        <f t="shared" si="100"/>
        <v>(9094,</v>
      </c>
      <c r="H909" t="str">
        <f t="shared" si="101"/>
        <v>393,</v>
      </c>
      <c r="I909" t="str">
        <f t="shared" si="102"/>
        <v>'MSFT',</v>
      </c>
      <c r="J909" t="str">
        <f t="shared" si="103"/>
        <v>218.56,</v>
      </c>
      <c r="K909" t="str">
        <f t="shared" si="104"/>
        <v>'SELL',</v>
      </c>
      <c r="L909" t="str">
        <f t="shared" si="105"/>
        <v>'2024-02-14 04:36:00'),</v>
      </c>
      <c r="M909" t="str">
        <f t="shared" si="106"/>
        <v>(9094,393,'MSFT',218.56,'SELL','2024-02-14 04:36:00'),</v>
      </c>
    </row>
    <row r="910" spans="1:13" x14ac:dyDescent="0.2">
      <c r="A910">
        <v>5751</v>
      </c>
      <c r="B910">
        <v>219</v>
      </c>
      <c r="C910" t="s">
        <v>1063</v>
      </c>
      <c r="D910" t="s">
        <v>1971</v>
      </c>
      <c r="E910" t="s">
        <v>1068</v>
      </c>
      <c r="F910" s="8" t="s">
        <v>2969</v>
      </c>
      <c r="G910" t="str">
        <f t="shared" si="100"/>
        <v>(5751,</v>
      </c>
      <c r="H910" t="str">
        <f t="shared" si="101"/>
        <v>219,</v>
      </c>
      <c r="I910" t="str">
        <f t="shared" si="102"/>
        <v>'META',</v>
      </c>
      <c r="J910" t="str">
        <f t="shared" si="103"/>
        <v>342.12,</v>
      </c>
      <c r="K910" t="str">
        <f t="shared" si="104"/>
        <v>'BUY',</v>
      </c>
      <c r="L910" t="str">
        <f t="shared" si="105"/>
        <v>'2024-02-13 21:27:00'),</v>
      </c>
      <c r="M910" t="str">
        <f t="shared" si="106"/>
        <v>(5751,219,'META',342.12,'BUY','2024-02-13 21:27:00'),</v>
      </c>
    </row>
    <row r="911" spans="1:13" x14ac:dyDescent="0.2">
      <c r="A911">
        <v>9952</v>
      </c>
      <c r="B911">
        <v>721</v>
      </c>
      <c r="C911" t="s">
        <v>1063</v>
      </c>
      <c r="D911" t="s">
        <v>1972</v>
      </c>
      <c r="E911" t="s">
        <v>1068</v>
      </c>
      <c r="F911" s="8" t="s">
        <v>2970</v>
      </c>
      <c r="G911" t="str">
        <f t="shared" si="100"/>
        <v>(9952,</v>
      </c>
      <c r="H911" t="str">
        <f t="shared" si="101"/>
        <v>721,</v>
      </c>
      <c r="I911" t="str">
        <f t="shared" si="102"/>
        <v>'META',</v>
      </c>
      <c r="J911" t="str">
        <f t="shared" si="103"/>
        <v>377.22,</v>
      </c>
      <c r="K911" t="str">
        <f t="shared" si="104"/>
        <v>'BUY',</v>
      </c>
      <c r="L911" t="str">
        <f t="shared" si="105"/>
        <v>'2024-02-08 03:47:00'),</v>
      </c>
      <c r="M911" t="str">
        <f t="shared" si="106"/>
        <v>(9952,721,'META',377.22,'BUY','2024-02-08 03:47:00'),</v>
      </c>
    </row>
    <row r="912" spans="1:13" x14ac:dyDescent="0.2">
      <c r="A912">
        <v>4168</v>
      </c>
      <c r="B912">
        <v>693</v>
      </c>
      <c r="C912" t="s">
        <v>1069</v>
      </c>
      <c r="D912" t="s">
        <v>1973</v>
      </c>
      <c r="E912" t="s">
        <v>1068</v>
      </c>
      <c r="F912" s="8" t="s">
        <v>2971</v>
      </c>
      <c r="G912" t="str">
        <f t="shared" si="100"/>
        <v>(4168,</v>
      </c>
      <c r="H912" t="str">
        <f t="shared" si="101"/>
        <v>693,</v>
      </c>
      <c r="I912" t="str">
        <f t="shared" si="102"/>
        <v>'MSFT',</v>
      </c>
      <c r="J912" t="str">
        <f t="shared" si="103"/>
        <v>617.86,</v>
      </c>
      <c r="K912" t="str">
        <f t="shared" si="104"/>
        <v>'BUY',</v>
      </c>
      <c r="L912" t="str">
        <f t="shared" si="105"/>
        <v>'2024-02-07 20:39:00'),</v>
      </c>
      <c r="M912" t="str">
        <f t="shared" si="106"/>
        <v>(4168,693,'MSFT',617.86,'BUY','2024-02-07 20:39:00'),</v>
      </c>
    </row>
    <row r="913" spans="1:13" x14ac:dyDescent="0.2">
      <c r="A913">
        <v>7531</v>
      </c>
      <c r="B913">
        <v>279</v>
      </c>
      <c r="C913" t="s">
        <v>1066</v>
      </c>
      <c r="D913" t="s">
        <v>1974</v>
      </c>
      <c r="E913" t="s">
        <v>1062</v>
      </c>
      <c r="F913" s="8" t="s">
        <v>2972</v>
      </c>
      <c r="G913" t="str">
        <f t="shared" si="100"/>
        <v>(7531,</v>
      </c>
      <c r="H913" t="str">
        <f t="shared" si="101"/>
        <v>279,</v>
      </c>
      <c r="I913" t="str">
        <f t="shared" si="102"/>
        <v>'AMZN',</v>
      </c>
      <c r="J913" t="str">
        <f t="shared" si="103"/>
        <v>963.4,</v>
      </c>
      <c r="K913" t="str">
        <f t="shared" si="104"/>
        <v>'SELL',</v>
      </c>
      <c r="L913" t="str">
        <f t="shared" si="105"/>
        <v>'2024-02-13 07:39:00'),</v>
      </c>
      <c r="M913" t="str">
        <f t="shared" si="106"/>
        <v>(7531,279,'AMZN',963.4,'SELL','2024-02-13 07:39:00'),</v>
      </c>
    </row>
    <row r="914" spans="1:13" x14ac:dyDescent="0.2">
      <c r="A914">
        <v>5297</v>
      </c>
      <c r="B914">
        <v>629</v>
      </c>
      <c r="C914" t="s">
        <v>1066</v>
      </c>
      <c r="D914" t="s">
        <v>1975</v>
      </c>
      <c r="E914" t="s">
        <v>1068</v>
      </c>
      <c r="F914" s="8" t="s">
        <v>2973</v>
      </c>
      <c r="G914" t="str">
        <f t="shared" si="100"/>
        <v>(5297,</v>
      </c>
      <c r="H914" t="str">
        <f t="shared" si="101"/>
        <v>629,</v>
      </c>
      <c r="I914" t="str">
        <f t="shared" si="102"/>
        <v>'AMZN',</v>
      </c>
      <c r="J914" t="str">
        <f t="shared" si="103"/>
        <v>688.39,</v>
      </c>
      <c r="K914" t="str">
        <f t="shared" si="104"/>
        <v>'BUY',</v>
      </c>
      <c r="L914" t="str">
        <f t="shared" si="105"/>
        <v>'2024-04-18 22:11:00'),</v>
      </c>
      <c r="M914" t="str">
        <f t="shared" si="106"/>
        <v>(5297,629,'AMZN',688.39,'BUY','2024-04-18 22:11:00'),</v>
      </c>
    </row>
    <row r="915" spans="1:13" x14ac:dyDescent="0.2">
      <c r="A915">
        <v>5297</v>
      </c>
      <c r="B915">
        <v>56</v>
      </c>
      <c r="C915" t="s">
        <v>1060</v>
      </c>
      <c r="D915" t="s">
        <v>1976</v>
      </c>
      <c r="E915" t="s">
        <v>1068</v>
      </c>
      <c r="F915" s="8" t="s">
        <v>2974</v>
      </c>
      <c r="G915" t="str">
        <f t="shared" si="100"/>
        <v>(5297,</v>
      </c>
      <c r="H915" t="str">
        <f t="shared" si="101"/>
        <v>56,</v>
      </c>
      <c r="I915" t="str">
        <f t="shared" si="102"/>
        <v>'TSLA',</v>
      </c>
      <c r="J915" t="str">
        <f t="shared" si="103"/>
        <v>804.29,</v>
      </c>
      <c r="K915" t="str">
        <f t="shared" si="104"/>
        <v>'BUY',</v>
      </c>
      <c r="L915" t="str">
        <f t="shared" si="105"/>
        <v>'2024-05-18 01:58:00'),</v>
      </c>
      <c r="M915" t="str">
        <f t="shared" si="106"/>
        <v>(5297,56,'TSLA',804.29,'BUY','2024-05-18 01:58:00'),</v>
      </c>
    </row>
    <row r="916" spans="1:13" x14ac:dyDescent="0.2">
      <c r="A916">
        <v>7531</v>
      </c>
      <c r="B916">
        <v>356</v>
      </c>
      <c r="C916" t="s">
        <v>1066</v>
      </c>
      <c r="D916" t="s">
        <v>1977</v>
      </c>
      <c r="E916" t="s">
        <v>1068</v>
      </c>
      <c r="F916" s="8" t="s">
        <v>2975</v>
      </c>
      <c r="G916" t="str">
        <f t="shared" si="100"/>
        <v>(7531,</v>
      </c>
      <c r="H916" t="str">
        <f t="shared" si="101"/>
        <v>356,</v>
      </c>
      <c r="I916" t="str">
        <f t="shared" si="102"/>
        <v>'AMZN',</v>
      </c>
      <c r="J916" t="str">
        <f t="shared" si="103"/>
        <v>390.49,</v>
      </c>
      <c r="K916" t="str">
        <f t="shared" si="104"/>
        <v>'BUY',</v>
      </c>
      <c r="L916" t="str">
        <f t="shared" si="105"/>
        <v>'2024-02-03 06:54:00'),</v>
      </c>
      <c r="M916" t="str">
        <f t="shared" si="106"/>
        <v>(7531,356,'AMZN',390.49,'BUY','2024-02-03 06:54:00'),</v>
      </c>
    </row>
    <row r="917" spans="1:13" x14ac:dyDescent="0.2">
      <c r="A917">
        <v>5751</v>
      </c>
      <c r="B917">
        <v>821</v>
      </c>
      <c r="C917" t="s">
        <v>1069</v>
      </c>
      <c r="D917" t="s">
        <v>1978</v>
      </c>
      <c r="E917" t="s">
        <v>1068</v>
      </c>
      <c r="F917" s="8" t="s">
        <v>2976</v>
      </c>
      <c r="G917" t="str">
        <f t="shared" si="100"/>
        <v>(5751,</v>
      </c>
      <c r="H917" t="str">
        <f t="shared" si="101"/>
        <v>821,</v>
      </c>
      <c r="I917" t="str">
        <f t="shared" si="102"/>
        <v>'MSFT',</v>
      </c>
      <c r="J917" t="str">
        <f t="shared" si="103"/>
        <v>385.22,</v>
      </c>
      <c r="K917" t="str">
        <f t="shared" si="104"/>
        <v>'BUY',</v>
      </c>
      <c r="L917" t="str">
        <f t="shared" si="105"/>
        <v>'2024-02-23 12:52:00'),</v>
      </c>
      <c r="M917" t="str">
        <f t="shared" si="106"/>
        <v>(5751,821,'MSFT',385.22,'BUY','2024-02-23 12:52:00'),</v>
      </c>
    </row>
    <row r="918" spans="1:13" x14ac:dyDescent="0.2">
      <c r="A918">
        <v>9094</v>
      </c>
      <c r="B918">
        <v>439</v>
      </c>
      <c r="C918" t="s">
        <v>1069</v>
      </c>
      <c r="D918" t="s">
        <v>1979</v>
      </c>
      <c r="E918" t="s">
        <v>1062</v>
      </c>
      <c r="F918" s="8" t="s">
        <v>2977</v>
      </c>
      <c r="G918" t="str">
        <f t="shared" si="100"/>
        <v>(9094,</v>
      </c>
      <c r="H918" t="str">
        <f t="shared" si="101"/>
        <v>439,</v>
      </c>
      <c r="I918" t="str">
        <f t="shared" si="102"/>
        <v>'MSFT',</v>
      </c>
      <c r="J918" t="str">
        <f t="shared" si="103"/>
        <v>109.96,</v>
      </c>
      <c r="K918" t="str">
        <f t="shared" si="104"/>
        <v>'SELL',</v>
      </c>
      <c r="L918" t="str">
        <f t="shared" si="105"/>
        <v>'2024-05-07 10:37:00'),</v>
      </c>
      <c r="M918" t="str">
        <f t="shared" si="106"/>
        <v>(9094,439,'MSFT',109.96,'SELL','2024-05-07 10:37:00'),</v>
      </c>
    </row>
    <row r="919" spans="1:13" x14ac:dyDescent="0.2">
      <c r="A919">
        <v>9094</v>
      </c>
      <c r="B919">
        <v>710</v>
      </c>
      <c r="C919" t="s">
        <v>1060</v>
      </c>
      <c r="D919" t="s">
        <v>1980</v>
      </c>
      <c r="E919" t="s">
        <v>1068</v>
      </c>
      <c r="F919" s="8" t="s">
        <v>2978</v>
      </c>
      <c r="G919" t="str">
        <f t="shared" si="100"/>
        <v>(9094,</v>
      </c>
      <c r="H919" t="str">
        <f t="shared" si="101"/>
        <v>710,</v>
      </c>
      <c r="I919" t="str">
        <f t="shared" si="102"/>
        <v>'TSLA',</v>
      </c>
      <c r="J919" t="str">
        <f t="shared" si="103"/>
        <v>113.05,</v>
      </c>
      <c r="K919" t="str">
        <f t="shared" si="104"/>
        <v>'BUY',</v>
      </c>
      <c r="L919" t="str">
        <f t="shared" si="105"/>
        <v>'2024-02-05 16:30:00'),</v>
      </c>
      <c r="M919" t="str">
        <f t="shared" si="106"/>
        <v>(9094,710,'TSLA',113.05,'BUY','2024-02-05 16:30:00'),</v>
      </c>
    </row>
    <row r="920" spans="1:13" x14ac:dyDescent="0.2">
      <c r="A920">
        <v>6298</v>
      </c>
      <c r="B920">
        <v>398</v>
      </c>
      <c r="C920" t="s">
        <v>1069</v>
      </c>
      <c r="D920" t="s">
        <v>1981</v>
      </c>
      <c r="E920" t="s">
        <v>1062</v>
      </c>
      <c r="F920" s="8" t="s">
        <v>2979</v>
      </c>
      <c r="G920" t="str">
        <f t="shared" si="100"/>
        <v>(6298,</v>
      </c>
      <c r="H920" t="str">
        <f t="shared" si="101"/>
        <v>398,</v>
      </c>
      <c r="I920" t="str">
        <f t="shared" si="102"/>
        <v>'MSFT',</v>
      </c>
      <c r="J920" t="str">
        <f t="shared" si="103"/>
        <v>227.55,</v>
      </c>
      <c r="K920" t="str">
        <f t="shared" si="104"/>
        <v>'SELL',</v>
      </c>
      <c r="L920" t="str">
        <f t="shared" si="105"/>
        <v>'2024-03-15 13:57:00'),</v>
      </c>
      <c r="M920" t="str">
        <f t="shared" si="106"/>
        <v>(6298,398,'MSFT',227.55,'SELL','2024-03-15 13:57:00'),</v>
      </c>
    </row>
    <row r="921" spans="1:13" x14ac:dyDescent="0.2">
      <c r="A921">
        <v>1691</v>
      </c>
      <c r="B921">
        <v>298</v>
      </c>
      <c r="C921" t="s">
        <v>1069</v>
      </c>
      <c r="D921" t="s">
        <v>1982</v>
      </c>
      <c r="E921" t="s">
        <v>1062</v>
      </c>
      <c r="F921" s="8" t="s">
        <v>2980</v>
      </c>
      <c r="G921" t="str">
        <f t="shared" si="100"/>
        <v>(1691,</v>
      </c>
      <c r="H921" t="str">
        <f t="shared" si="101"/>
        <v>298,</v>
      </c>
      <c r="I921" t="str">
        <f t="shared" si="102"/>
        <v>'MSFT',</v>
      </c>
      <c r="J921" t="str">
        <f t="shared" si="103"/>
        <v>513.01,</v>
      </c>
      <c r="K921" t="str">
        <f t="shared" si="104"/>
        <v>'SELL',</v>
      </c>
      <c r="L921" t="str">
        <f t="shared" si="105"/>
        <v>'2024-02-26 01:22:00'),</v>
      </c>
      <c r="M921" t="str">
        <f t="shared" si="106"/>
        <v>(1691,298,'MSFT',513.01,'SELL','2024-02-26 01:22:00'),</v>
      </c>
    </row>
    <row r="922" spans="1:13" x14ac:dyDescent="0.2">
      <c r="A922">
        <v>9094</v>
      </c>
      <c r="B922">
        <v>685</v>
      </c>
      <c r="C922" t="s">
        <v>1066</v>
      </c>
      <c r="D922" t="s">
        <v>1983</v>
      </c>
      <c r="E922" t="s">
        <v>1068</v>
      </c>
      <c r="F922" s="8" t="s">
        <v>2981</v>
      </c>
      <c r="G922" t="str">
        <f t="shared" si="100"/>
        <v>(9094,</v>
      </c>
      <c r="H922" t="str">
        <f t="shared" si="101"/>
        <v>685,</v>
      </c>
      <c r="I922" t="str">
        <f t="shared" si="102"/>
        <v>'AMZN',</v>
      </c>
      <c r="J922" t="str">
        <f t="shared" si="103"/>
        <v>411.63,</v>
      </c>
      <c r="K922" t="str">
        <f t="shared" si="104"/>
        <v>'BUY',</v>
      </c>
      <c r="L922" t="str">
        <f t="shared" si="105"/>
        <v>'2024-04-20 02:54:00'),</v>
      </c>
      <c r="M922" t="str">
        <f t="shared" si="106"/>
        <v>(9094,685,'AMZN',411.63,'BUY','2024-04-20 02:54:00'),</v>
      </c>
    </row>
    <row r="923" spans="1:13" x14ac:dyDescent="0.2">
      <c r="A923">
        <v>6298</v>
      </c>
      <c r="B923">
        <v>539</v>
      </c>
      <c r="C923" t="s">
        <v>1060</v>
      </c>
      <c r="D923" t="s">
        <v>1984</v>
      </c>
      <c r="E923" t="s">
        <v>1062</v>
      </c>
      <c r="F923" s="8" t="s">
        <v>2982</v>
      </c>
      <c r="G923" t="str">
        <f t="shared" si="100"/>
        <v>(6298,</v>
      </c>
      <c r="H923" t="str">
        <f t="shared" si="101"/>
        <v>539,</v>
      </c>
      <c r="I923" t="str">
        <f t="shared" si="102"/>
        <v>'TSLA',</v>
      </c>
      <c r="J923" t="str">
        <f t="shared" si="103"/>
        <v>226.38,</v>
      </c>
      <c r="K923" t="str">
        <f t="shared" si="104"/>
        <v>'SELL',</v>
      </c>
      <c r="L923" t="str">
        <f t="shared" si="105"/>
        <v>'2024-04-17 03:48:00'),</v>
      </c>
      <c r="M923" t="str">
        <f t="shared" si="106"/>
        <v>(6298,539,'TSLA',226.38,'SELL','2024-04-17 03:48:00'),</v>
      </c>
    </row>
    <row r="924" spans="1:13" x14ac:dyDescent="0.2">
      <c r="A924">
        <v>2941</v>
      </c>
      <c r="B924">
        <v>943</v>
      </c>
      <c r="C924" t="s">
        <v>1060</v>
      </c>
      <c r="D924" t="s">
        <v>1985</v>
      </c>
      <c r="E924" t="s">
        <v>1068</v>
      </c>
      <c r="F924" s="8" t="s">
        <v>2983</v>
      </c>
      <c r="G924" t="str">
        <f t="shared" si="100"/>
        <v>(2941,</v>
      </c>
      <c r="H924" t="str">
        <f t="shared" si="101"/>
        <v>943,</v>
      </c>
      <c r="I924" t="str">
        <f t="shared" si="102"/>
        <v>'TSLA',</v>
      </c>
      <c r="J924" t="str">
        <f t="shared" si="103"/>
        <v>195.4,</v>
      </c>
      <c r="K924" t="str">
        <f t="shared" si="104"/>
        <v>'BUY',</v>
      </c>
      <c r="L924" t="str">
        <f t="shared" si="105"/>
        <v>'2024-04-20 09:44:00'),</v>
      </c>
      <c r="M924" t="str">
        <f t="shared" si="106"/>
        <v>(2941,943,'TSLA',195.4,'BUY','2024-04-20 09:44:00'),</v>
      </c>
    </row>
    <row r="925" spans="1:13" x14ac:dyDescent="0.2">
      <c r="A925">
        <v>7531</v>
      </c>
      <c r="B925">
        <v>437</v>
      </c>
      <c r="C925" t="s">
        <v>1066</v>
      </c>
      <c r="D925" t="s">
        <v>1986</v>
      </c>
      <c r="E925" t="s">
        <v>1062</v>
      </c>
      <c r="F925" s="8" t="s">
        <v>2984</v>
      </c>
      <c r="G925" t="str">
        <f t="shared" si="100"/>
        <v>(7531,</v>
      </c>
      <c r="H925" t="str">
        <f t="shared" si="101"/>
        <v>437,</v>
      </c>
      <c r="I925" t="str">
        <f t="shared" si="102"/>
        <v>'AMZN',</v>
      </c>
      <c r="J925" t="str">
        <f t="shared" si="103"/>
        <v>963.35,</v>
      </c>
      <c r="K925" t="str">
        <f t="shared" si="104"/>
        <v>'SELL',</v>
      </c>
      <c r="L925" t="str">
        <f t="shared" si="105"/>
        <v>'2024-02-03 23:08:00'),</v>
      </c>
      <c r="M925" t="str">
        <f t="shared" si="106"/>
        <v>(7531,437,'AMZN',963.35,'SELL','2024-02-03 23:08:00'),</v>
      </c>
    </row>
    <row r="926" spans="1:13" x14ac:dyDescent="0.2">
      <c r="A926">
        <v>6298</v>
      </c>
      <c r="B926">
        <v>775</v>
      </c>
      <c r="C926" t="s">
        <v>1066</v>
      </c>
      <c r="D926" t="s">
        <v>1987</v>
      </c>
      <c r="E926" t="s">
        <v>1068</v>
      </c>
      <c r="F926" s="8" t="s">
        <v>2985</v>
      </c>
      <c r="G926" t="str">
        <f t="shared" si="100"/>
        <v>(6298,</v>
      </c>
      <c r="H926" t="str">
        <f t="shared" si="101"/>
        <v>775,</v>
      </c>
      <c r="I926" t="str">
        <f t="shared" si="102"/>
        <v>'AMZN',</v>
      </c>
      <c r="J926" t="str">
        <f t="shared" si="103"/>
        <v>998.02,</v>
      </c>
      <c r="K926" t="str">
        <f t="shared" si="104"/>
        <v>'BUY',</v>
      </c>
      <c r="L926" t="str">
        <f t="shared" si="105"/>
        <v>'2024-01-10 05:01:00'),</v>
      </c>
      <c r="M926" t="str">
        <f t="shared" si="106"/>
        <v>(6298,775,'AMZN',998.02,'BUY','2024-01-10 05:01:00'),</v>
      </c>
    </row>
    <row r="927" spans="1:13" x14ac:dyDescent="0.2">
      <c r="A927">
        <v>6298</v>
      </c>
      <c r="B927">
        <v>718</v>
      </c>
      <c r="C927" t="s">
        <v>1066</v>
      </c>
      <c r="D927" t="s">
        <v>1988</v>
      </c>
      <c r="E927" t="s">
        <v>1062</v>
      </c>
      <c r="F927" s="8" t="s">
        <v>2986</v>
      </c>
      <c r="G927" t="str">
        <f t="shared" si="100"/>
        <v>(6298,</v>
      </c>
      <c r="H927" t="str">
        <f t="shared" si="101"/>
        <v>718,</v>
      </c>
      <c r="I927" t="str">
        <f t="shared" si="102"/>
        <v>'AMZN',</v>
      </c>
      <c r="J927" t="str">
        <f t="shared" si="103"/>
        <v>593.98,</v>
      </c>
      <c r="K927" t="str">
        <f t="shared" si="104"/>
        <v>'SELL',</v>
      </c>
      <c r="L927" t="str">
        <f t="shared" si="105"/>
        <v>'2024-04-25 22:50:00'),</v>
      </c>
      <c r="M927" t="str">
        <f t="shared" si="106"/>
        <v>(6298,718,'AMZN',593.98,'SELL','2024-04-25 22:50:00'),</v>
      </c>
    </row>
    <row r="928" spans="1:13" x14ac:dyDescent="0.2">
      <c r="A928">
        <v>4710</v>
      </c>
      <c r="B928">
        <v>368</v>
      </c>
      <c r="C928" t="s">
        <v>1063</v>
      </c>
      <c r="D928" t="s">
        <v>1989</v>
      </c>
      <c r="E928" t="s">
        <v>1068</v>
      </c>
      <c r="F928" s="8" t="s">
        <v>2987</v>
      </c>
      <c r="G928" t="str">
        <f t="shared" si="100"/>
        <v>(4710,</v>
      </c>
      <c r="H928" t="str">
        <f t="shared" si="101"/>
        <v>368,</v>
      </c>
      <c r="I928" t="str">
        <f t="shared" si="102"/>
        <v>'META',</v>
      </c>
      <c r="J928" t="str">
        <f t="shared" si="103"/>
        <v>505.54,</v>
      </c>
      <c r="K928" t="str">
        <f t="shared" si="104"/>
        <v>'BUY',</v>
      </c>
      <c r="L928" t="str">
        <f t="shared" si="105"/>
        <v>'2024-02-05 14:11:00'),</v>
      </c>
      <c r="M928" t="str">
        <f t="shared" si="106"/>
        <v>(4710,368,'META',505.54,'BUY','2024-02-05 14:11:00'),</v>
      </c>
    </row>
    <row r="929" spans="1:13" x14ac:dyDescent="0.2">
      <c r="A929">
        <v>2941</v>
      </c>
      <c r="B929">
        <v>835</v>
      </c>
      <c r="C929" t="s">
        <v>1063</v>
      </c>
      <c r="D929" t="s">
        <v>1990</v>
      </c>
      <c r="E929" t="s">
        <v>1062</v>
      </c>
      <c r="F929" s="8" t="s">
        <v>2988</v>
      </c>
      <c r="G929" t="str">
        <f t="shared" si="100"/>
        <v>(2941,</v>
      </c>
      <c r="H929" t="str">
        <f t="shared" si="101"/>
        <v>835,</v>
      </c>
      <c r="I929" t="str">
        <f t="shared" si="102"/>
        <v>'META',</v>
      </c>
      <c r="J929" t="str">
        <f t="shared" si="103"/>
        <v>100.57,</v>
      </c>
      <c r="K929" t="str">
        <f t="shared" si="104"/>
        <v>'SELL',</v>
      </c>
      <c r="L929" t="str">
        <f t="shared" si="105"/>
        <v>'2024-05-17 01:42:00'),</v>
      </c>
      <c r="M929" t="str">
        <f t="shared" si="106"/>
        <v>(2941,835,'META',100.57,'SELL','2024-05-17 01:42:00'),</v>
      </c>
    </row>
    <row r="930" spans="1:13" x14ac:dyDescent="0.2">
      <c r="A930">
        <v>4168</v>
      </c>
      <c r="B930">
        <v>982</v>
      </c>
      <c r="C930" t="s">
        <v>1060</v>
      </c>
      <c r="D930" t="s">
        <v>1991</v>
      </c>
      <c r="E930" t="s">
        <v>1068</v>
      </c>
      <c r="F930" s="8" t="s">
        <v>2989</v>
      </c>
      <c r="G930" t="str">
        <f t="shared" si="100"/>
        <v>(4168,</v>
      </c>
      <c r="H930" t="str">
        <f t="shared" si="101"/>
        <v>982,</v>
      </c>
      <c r="I930" t="str">
        <f t="shared" si="102"/>
        <v>'TSLA',</v>
      </c>
      <c r="J930" t="str">
        <f t="shared" si="103"/>
        <v>247.18,</v>
      </c>
      <c r="K930" t="str">
        <f t="shared" si="104"/>
        <v>'BUY',</v>
      </c>
      <c r="L930" t="str">
        <f t="shared" si="105"/>
        <v>'2024-05-23 10:13:00'),</v>
      </c>
      <c r="M930" t="str">
        <f t="shared" si="106"/>
        <v>(4168,982,'TSLA',247.18,'BUY','2024-05-23 10:13:00'),</v>
      </c>
    </row>
    <row r="931" spans="1:13" x14ac:dyDescent="0.2">
      <c r="A931">
        <v>5297</v>
      </c>
      <c r="B931">
        <v>278</v>
      </c>
      <c r="C931" t="s">
        <v>1066</v>
      </c>
      <c r="D931" t="s">
        <v>1992</v>
      </c>
      <c r="E931" t="s">
        <v>1062</v>
      </c>
      <c r="F931" s="8" t="s">
        <v>2990</v>
      </c>
      <c r="G931" t="str">
        <f t="shared" si="100"/>
        <v>(5297,</v>
      </c>
      <c r="H931" t="str">
        <f t="shared" si="101"/>
        <v>278,</v>
      </c>
      <c r="I931" t="str">
        <f t="shared" si="102"/>
        <v>'AMZN',</v>
      </c>
      <c r="J931" t="str">
        <f t="shared" si="103"/>
        <v>987.06,</v>
      </c>
      <c r="K931" t="str">
        <f t="shared" si="104"/>
        <v>'SELL',</v>
      </c>
      <c r="L931" t="str">
        <f t="shared" si="105"/>
        <v>'2024-04-30 06:12:00'),</v>
      </c>
      <c r="M931" t="str">
        <f t="shared" si="106"/>
        <v>(5297,278,'AMZN',987.06,'SELL','2024-04-30 06:12:00'),</v>
      </c>
    </row>
    <row r="932" spans="1:13" x14ac:dyDescent="0.2">
      <c r="A932">
        <v>7938</v>
      </c>
      <c r="B932">
        <v>157</v>
      </c>
      <c r="C932" t="s">
        <v>1066</v>
      </c>
      <c r="D932" t="s">
        <v>1993</v>
      </c>
      <c r="E932" t="s">
        <v>1068</v>
      </c>
      <c r="F932" s="8" t="s">
        <v>2991</v>
      </c>
      <c r="G932" t="str">
        <f t="shared" si="100"/>
        <v>(7938,</v>
      </c>
      <c r="H932" t="str">
        <f t="shared" si="101"/>
        <v>157,</v>
      </c>
      <c r="I932" t="str">
        <f t="shared" si="102"/>
        <v>'AMZN',</v>
      </c>
      <c r="J932" t="str">
        <f t="shared" si="103"/>
        <v>529.09,</v>
      </c>
      <c r="K932" t="str">
        <f t="shared" si="104"/>
        <v>'BUY',</v>
      </c>
      <c r="L932" t="str">
        <f t="shared" si="105"/>
        <v>'2024-05-09 11:48:00'),</v>
      </c>
      <c r="M932" t="str">
        <f t="shared" si="106"/>
        <v>(7938,157,'AMZN',529.09,'BUY','2024-05-09 11:48:00'),</v>
      </c>
    </row>
    <row r="933" spans="1:13" x14ac:dyDescent="0.2">
      <c r="A933">
        <v>4669</v>
      </c>
      <c r="B933">
        <v>946</v>
      </c>
      <c r="C933" t="s">
        <v>1066</v>
      </c>
      <c r="D933" t="s">
        <v>1994</v>
      </c>
      <c r="E933" t="s">
        <v>1068</v>
      </c>
      <c r="F933" s="8" t="s">
        <v>2992</v>
      </c>
      <c r="G933" t="str">
        <f t="shared" si="100"/>
        <v>(4669,</v>
      </c>
      <c r="H933" t="str">
        <f t="shared" si="101"/>
        <v>946,</v>
      </c>
      <c r="I933" t="str">
        <f t="shared" si="102"/>
        <v>'AMZN',</v>
      </c>
      <c r="J933" t="str">
        <f t="shared" si="103"/>
        <v>203.28,</v>
      </c>
      <c r="K933" t="str">
        <f t="shared" si="104"/>
        <v>'BUY',</v>
      </c>
      <c r="L933" t="str">
        <f t="shared" si="105"/>
        <v>'2024-03-25 22:10:00'),</v>
      </c>
      <c r="M933" t="str">
        <f t="shared" si="106"/>
        <v>(4669,946,'AMZN',203.28,'BUY','2024-03-25 22:10:00'),</v>
      </c>
    </row>
    <row r="934" spans="1:13" x14ac:dyDescent="0.2">
      <c r="A934">
        <v>9094</v>
      </c>
      <c r="B934">
        <v>482</v>
      </c>
      <c r="C934" t="s">
        <v>1060</v>
      </c>
      <c r="D934" t="s">
        <v>1995</v>
      </c>
      <c r="E934" t="s">
        <v>1062</v>
      </c>
      <c r="F934" s="8" t="s">
        <v>2993</v>
      </c>
      <c r="G934" t="str">
        <f t="shared" si="100"/>
        <v>(9094,</v>
      </c>
      <c r="H934" t="str">
        <f t="shared" si="101"/>
        <v>482,</v>
      </c>
      <c r="I934" t="str">
        <f t="shared" si="102"/>
        <v>'TSLA',</v>
      </c>
      <c r="J934" t="str">
        <f t="shared" si="103"/>
        <v>765.93,</v>
      </c>
      <c r="K934" t="str">
        <f t="shared" si="104"/>
        <v>'SELL',</v>
      </c>
      <c r="L934" t="str">
        <f t="shared" si="105"/>
        <v>'2024-05-11 03:43:00'),</v>
      </c>
      <c r="M934" t="str">
        <f t="shared" si="106"/>
        <v>(9094,482,'TSLA',765.93,'SELL','2024-05-11 03:43:00'),</v>
      </c>
    </row>
    <row r="935" spans="1:13" x14ac:dyDescent="0.2">
      <c r="A935">
        <v>6298</v>
      </c>
      <c r="B935">
        <v>692</v>
      </c>
      <c r="C935" t="s">
        <v>1060</v>
      </c>
      <c r="D935" t="s">
        <v>1996</v>
      </c>
      <c r="E935" t="s">
        <v>1068</v>
      </c>
      <c r="F935" s="8" t="s">
        <v>2994</v>
      </c>
      <c r="G935" t="str">
        <f t="shared" si="100"/>
        <v>(6298,</v>
      </c>
      <c r="H935" t="str">
        <f t="shared" si="101"/>
        <v>692,</v>
      </c>
      <c r="I935" t="str">
        <f t="shared" si="102"/>
        <v>'TSLA',</v>
      </c>
      <c r="J935" t="str">
        <f t="shared" si="103"/>
        <v>465.72,</v>
      </c>
      <c r="K935" t="str">
        <f t="shared" si="104"/>
        <v>'BUY',</v>
      </c>
      <c r="L935" t="str">
        <f t="shared" si="105"/>
        <v>'2024-02-17 14:10:00'),</v>
      </c>
      <c r="M935" t="str">
        <f t="shared" si="106"/>
        <v>(6298,692,'TSLA',465.72,'BUY','2024-02-17 14:10:00'),</v>
      </c>
    </row>
    <row r="936" spans="1:13" x14ac:dyDescent="0.2">
      <c r="A936">
        <v>5705</v>
      </c>
      <c r="B936">
        <v>635</v>
      </c>
      <c r="C936" t="s">
        <v>1066</v>
      </c>
      <c r="D936" t="s">
        <v>1997</v>
      </c>
      <c r="E936" t="s">
        <v>1068</v>
      </c>
      <c r="F936" s="8" t="s">
        <v>2995</v>
      </c>
      <c r="G936" t="str">
        <f t="shared" si="100"/>
        <v>(5705,</v>
      </c>
      <c r="H936" t="str">
        <f t="shared" si="101"/>
        <v>635,</v>
      </c>
      <c r="I936" t="str">
        <f t="shared" si="102"/>
        <v>'AMZN',</v>
      </c>
      <c r="J936" t="str">
        <f t="shared" si="103"/>
        <v>109.84,</v>
      </c>
      <c r="K936" t="str">
        <f t="shared" si="104"/>
        <v>'BUY',</v>
      </c>
      <c r="L936" t="str">
        <f t="shared" si="105"/>
        <v>'2024-04-18 05:29:00'),</v>
      </c>
      <c r="M936" t="str">
        <f t="shared" si="106"/>
        <v>(5705,635,'AMZN',109.84,'BUY','2024-04-18 05:29:00'),</v>
      </c>
    </row>
    <row r="937" spans="1:13" x14ac:dyDescent="0.2">
      <c r="A937">
        <v>7922</v>
      </c>
      <c r="B937">
        <v>438</v>
      </c>
      <c r="C937" t="s">
        <v>1063</v>
      </c>
      <c r="D937" t="s">
        <v>1998</v>
      </c>
      <c r="E937" t="s">
        <v>1068</v>
      </c>
      <c r="F937" s="8" t="s">
        <v>2996</v>
      </c>
      <c r="G937" t="str">
        <f t="shared" si="100"/>
        <v>(7922,</v>
      </c>
      <c r="H937" t="str">
        <f t="shared" si="101"/>
        <v>438,</v>
      </c>
      <c r="I937" t="str">
        <f t="shared" si="102"/>
        <v>'META',</v>
      </c>
      <c r="J937" t="str">
        <f t="shared" si="103"/>
        <v>654.68,</v>
      </c>
      <c r="K937" t="str">
        <f t="shared" si="104"/>
        <v>'BUY',</v>
      </c>
      <c r="L937" t="str">
        <f t="shared" si="105"/>
        <v>'2024-02-29 02:48:00'),</v>
      </c>
      <c r="M937" t="str">
        <f t="shared" si="106"/>
        <v>(7922,438,'META',654.68,'BUY','2024-02-29 02:48:00'),</v>
      </c>
    </row>
    <row r="938" spans="1:13" x14ac:dyDescent="0.2">
      <c r="A938">
        <v>7938</v>
      </c>
      <c r="B938">
        <v>458</v>
      </c>
      <c r="C938" t="s">
        <v>1063</v>
      </c>
      <c r="D938" t="s">
        <v>1999</v>
      </c>
      <c r="E938" t="s">
        <v>1062</v>
      </c>
      <c r="F938" s="8" t="s">
        <v>2997</v>
      </c>
      <c r="G938" t="str">
        <f t="shared" si="100"/>
        <v>(7938,</v>
      </c>
      <c r="H938" t="str">
        <f t="shared" si="101"/>
        <v>458,</v>
      </c>
      <c r="I938" t="str">
        <f t="shared" si="102"/>
        <v>'META',</v>
      </c>
      <c r="J938" t="str">
        <f t="shared" si="103"/>
        <v>665.06,</v>
      </c>
      <c r="K938" t="str">
        <f t="shared" si="104"/>
        <v>'SELL',</v>
      </c>
      <c r="L938" t="str">
        <f t="shared" si="105"/>
        <v>'2024-05-19 12:49:00'),</v>
      </c>
      <c r="M938" t="str">
        <f t="shared" si="106"/>
        <v>(7938,458,'META',665.06,'SELL','2024-05-19 12:49:00'),</v>
      </c>
    </row>
    <row r="939" spans="1:13" x14ac:dyDescent="0.2">
      <c r="A939">
        <v>6298</v>
      </c>
      <c r="B939">
        <v>614</v>
      </c>
      <c r="C939" t="s">
        <v>1069</v>
      </c>
      <c r="D939" t="s">
        <v>2000</v>
      </c>
      <c r="E939" t="s">
        <v>1062</v>
      </c>
      <c r="F939" s="8" t="s">
        <v>2998</v>
      </c>
      <c r="G939" t="str">
        <f t="shared" si="100"/>
        <v>(6298,</v>
      </c>
      <c r="H939" t="str">
        <f t="shared" si="101"/>
        <v>614,</v>
      </c>
      <c r="I939" t="str">
        <f t="shared" si="102"/>
        <v>'MSFT',</v>
      </c>
      <c r="J939" t="str">
        <f t="shared" si="103"/>
        <v>687.06,</v>
      </c>
      <c r="K939" t="str">
        <f t="shared" si="104"/>
        <v>'SELL',</v>
      </c>
      <c r="L939" t="str">
        <f t="shared" si="105"/>
        <v>'2024-04-13 18:00:00'),</v>
      </c>
      <c r="M939" t="str">
        <f t="shared" si="106"/>
        <v>(6298,614,'MSFT',687.06,'SELL','2024-04-13 18:00:00'),</v>
      </c>
    </row>
    <row r="940" spans="1:13" x14ac:dyDescent="0.2">
      <c r="A940">
        <v>4710</v>
      </c>
      <c r="B940">
        <v>388</v>
      </c>
      <c r="C940" t="s">
        <v>1069</v>
      </c>
      <c r="D940" t="s">
        <v>2001</v>
      </c>
      <c r="E940" t="s">
        <v>1068</v>
      </c>
      <c r="F940" s="8" t="s">
        <v>2999</v>
      </c>
      <c r="G940" t="str">
        <f t="shared" si="100"/>
        <v>(4710,</v>
      </c>
      <c r="H940" t="str">
        <f t="shared" si="101"/>
        <v>388,</v>
      </c>
      <c r="I940" t="str">
        <f t="shared" si="102"/>
        <v>'MSFT',</v>
      </c>
      <c r="J940" t="str">
        <f t="shared" si="103"/>
        <v>449.38,</v>
      </c>
      <c r="K940" t="str">
        <f t="shared" si="104"/>
        <v>'BUY',</v>
      </c>
      <c r="L940" t="str">
        <f t="shared" si="105"/>
        <v>'2024-02-26 09:14:00'),</v>
      </c>
      <c r="M940" t="str">
        <f t="shared" si="106"/>
        <v>(4710,388,'MSFT',449.38,'BUY','2024-02-26 09:14:00'),</v>
      </c>
    </row>
    <row r="941" spans="1:13" x14ac:dyDescent="0.2">
      <c r="A941">
        <v>7938</v>
      </c>
      <c r="B941">
        <v>1000</v>
      </c>
      <c r="C941" t="s">
        <v>1063</v>
      </c>
      <c r="D941" t="s">
        <v>2002</v>
      </c>
      <c r="E941" t="s">
        <v>1062</v>
      </c>
      <c r="F941" s="8" t="s">
        <v>3000</v>
      </c>
      <c r="G941" t="str">
        <f t="shared" si="100"/>
        <v>(7938,</v>
      </c>
      <c r="H941" t="str">
        <f t="shared" si="101"/>
        <v>1000,</v>
      </c>
      <c r="I941" t="str">
        <f t="shared" si="102"/>
        <v>'META',</v>
      </c>
      <c r="J941" t="str">
        <f t="shared" si="103"/>
        <v>350.72,</v>
      </c>
      <c r="K941" t="str">
        <f t="shared" si="104"/>
        <v>'SELL',</v>
      </c>
      <c r="L941" t="str">
        <f t="shared" si="105"/>
        <v>'2024-02-19 02:28:00'),</v>
      </c>
      <c r="M941" t="str">
        <f t="shared" si="106"/>
        <v>(7938,1000,'META',350.72,'SELL','2024-02-19 02:28:00'),</v>
      </c>
    </row>
    <row r="942" spans="1:13" x14ac:dyDescent="0.2">
      <c r="A942">
        <v>5751</v>
      </c>
      <c r="B942">
        <v>195</v>
      </c>
      <c r="C942" t="s">
        <v>1060</v>
      </c>
      <c r="D942" t="s">
        <v>2003</v>
      </c>
      <c r="E942" t="s">
        <v>1062</v>
      </c>
      <c r="F942" s="8" t="s">
        <v>3001</v>
      </c>
      <c r="G942" t="str">
        <f t="shared" si="100"/>
        <v>(5751,</v>
      </c>
      <c r="H942" t="str">
        <f t="shared" si="101"/>
        <v>195,</v>
      </c>
      <c r="I942" t="str">
        <f t="shared" si="102"/>
        <v>'TSLA',</v>
      </c>
      <c r="J942" t="str">
        <f t="shared" si="103"/>
        <v>699.07,</v>
      </c>
      <c r="K942" t="str">
        <f t="shared" si="104"/>
        <v>'SELL',</v>
      </c>
      <c r="L942" t="str">
        <f t="shared" si="105"/>
        <v>'2024-01-10 11:57:00'),</v>
      </c>
      <c r="M942" t="str">
        <f t="shared" si="106"/>
        <v>(5751,195,'TSLA',699.07,'SELL','2024-01-10 11:57:00'),</v>
      </c>
    </row>
    <row r="943" spans="1:13" x14ac:dyDescent="0.2">
      <c r="A943">
        <v>5751</v>
      </c>
      <c r="B943">
        <v>927</v>
      </c>
      <c r="C943" t="s">
        <v>1063</v>
      </c>
      <c r="D943" t="s">
        <v>2004</v>
      </c>
      <c r="E943" t="s">
        <v>1068</v>
      </c>
      <c r="F943" s="8" t="s">
        <v>3002</v>
      </c>
      <c r="G943" t="str">
        <f t="shared" si="100"/>
        <v>(5751,</v>
      </c>
      <c r="H943" t="str">
        <f t="shared" si="101"/>
        <v>927,</v>
      </c>
      <c r="I943" t="str">
        <f t="shared" si="102"/>
        <v>'META',</v>
      </c>
      <c r="J943" t="str">
        <f t="shared" si="103"/>
        <v>124.84,</v>
      </c>
      <c r="K943" t="str">
        <f t="shared" si="104"/>
        <v>'BUY',</v>
      </c>
      <c r="L943" t="str">
        <f t="shared" si="105"/>
        <v>'2024-01-05 04:35:00'),</v>
      </c>
      <c r="M943" t="str">
        <f t="shared" si="106"/>
        <v>(5751,927,'META',124.84,'BUY','2024-01-05 04:35:00'),</v>
      </c>
    </row>
    <row r="944" spans="1:13" x14ac:dyDescent="0.2">
      <c r="A944">
        <v>4168</v>
      </c>
      <c r="B944">
        <v>824</v>
      </c>
      <c r="C944" t="s">
        <v>1069</v>
      </c>
      <c r="D944" t="s">
        <v>2005</v>
      </c>
      <c r="E944" t="s">
        <v>1062</v>
      </c>
      <c r="F944" s="8" t="s">
        <v>3003</v>
      </c>
      <c r="G944" t="str">
        <f t="shared" si="100"/>
        <v>(4168,</v>
      </c>
      <c r="H944" t="str">
        <f t="shared" si="101"/>
        <v>824,</v>
      </c>
      <c r="I944" t="str">
        <f t="shared" si="102"/>
        <v>'MSFT',</v>
      </c>
      <c r="J944" t="str">
        <f t="shared" si="103"/>
        <v>623.4,</v>
      </c>
      <c r="K944" t="str">
        <f t="shared" si="104"/>
        <v>'SELL',</v>
      </c>
      <c r="L944" t="str">
        <f t="shared" si="105"/>
        <v>'2024-03-25 16:29:00'),</v>
      </c>
      <c r="M944" t="str">
        <f t="shared" si="106"/>
        <v>(4168,824,'MSFT',623.4,'SELL','2024-03-25 16:29:00'),</v>
      </c>
    </row>
    <row r="945" spans="1:13" x14ac:dyDescent="0.2">
      <c r="A945">
        <v>5751</v>
      </c>
      <c r="B945">
        <v>927</v>
      </c>
      <c r="C945" t="s">
        <v>1069</v>
      </c>
      <c r="D945" t="s">
        <v>2006</v>
      </c>
      <c r="E945" t="s">
        <v>1062</v>
      </c>
      <c r="F945" s="8" t="s">
        <v>3004</v>
      </c>
      <c r="G945" t="str">
        <f t="shared" si="100"/>
        <v>(5751,</v>
      </c>
      <c r="H945" t="str">
        <f t="shared" si="101"/>
        <v>927,</v>
      </c>
      <c r="I945" t="str">
        <f t="shared" si="102"/>
        <v>'MSFT',</v>
      </c>
      <c r="J945" t="str">
        <f t="shared" si="103"/>
        <v>765.99,</v>
      </c>
      <c r="K945" t="str">
        <f t="shared" si="104"/>
        <v>'SELL',</v>
      </c>
      <c r="L945" t="str">
        <f t="shared" si="105"/>
        <v>'2024-05-17 00:05:00'),</v>
      </c>
      <c r="M945" t="str">
        <f t="shared" si="106"/>
        <v>(5751,927,'MSFT',765.99,'SELL','2024-05-17 00:05:00'),</v>
      </c>
    </row>
    <row r="946" spans="1:13" x14ac:dyDescent="0.2">
      <c r="A946">
        <v>4710</v>
      </c>
      <c r="B946">
        <v>980</v>
      </c>
      <c r="C946" t="s">
        <v>1063</v>
      </c>
      <c r="D946" t="s">
        <v>2007</v>
      </c>
      <c r="E946" t="s">
        <v>1062</v>
      </c>
      <c r="F946" s="8" t="s">
        <v>3005</v>
      </c>
      <c r="G946" t="str">
        <f t="shared" si="100"/>
        <v>(4710,</v>
      </c>
      <c r="H946" t="str">
        <f t="shared" si="101"/>
        <v>980,</v>
      </c>
      <c r="I946" t="str">
        <f t="shared" si="102"/>
        <v>'META',</v>
      </c>
      <c r="J946" t="str">
        <f t="shared" si="103"/>
        <v>332.94,</v>
      </c>
      <c r="K946" t="str">
        <f t="shared" si="104"/>
        <v>'SELL',</v>
      </c>
      <c r="L946" t="str">
        <f t="shared" si="105"/>
        <v>'2024-01-03 02:00:00'),</v>
      </c>
      <c r="M946" t="str">
        <f t="shared" si="106"/>
        <v>(4710,980,'META',332.94,'SELL','2024-01-03 02:00:00'),</v>
      </c>
    </row>
    <row r="947" spans="1:13" x14ac:dyDescent="0.2">
      <c r="A947">
        <v>5258</v>
      </c>
      <c r="B947">
        <v>550</v>
      </c>
      <c r="C947" t="s">
        <v>1069</v>
      </c>
      <c r="D947" t="s">
        <v>2008</v>
      </c>
      <c r="E947" t="s">
        <v>1068</v>
      </c>
      <c r="F947" s="8" t="s">
        <v>3006</v>
      </c>
      <c r="G947" t="str">
        <f t="shared" si="100"/>
        <v>(5258,</v>
      </c>
      <c r="H947" t="str">
        <f t="shared" si="101"/>
        <v>550,</v>
      </c>
      <c r="I947" t="str">
        <f t="shared" si="102"/>
        <v>'MSFT',</v>
      </c>
      <c r="J947" t="str">
        <f t="shared" si="103"/>
        <v>325.99,</v>
      </c>
      <c r="K947" t="str">
        <f t="shared" si="104"/>
        <v>'BUY',</v>
      </c>
      <c r="L947" t="str">
        <f t="shared" si="105"/>
        <v>'2024-04-20 10:08:00'),</v>
      </c>
      <c r="M947" t="str">
        <f t="shared" si="106"/>
        <v>(5258,550,'MSFT',325.99,'BUY','2024-04-20 10:08:00'),</v>
      </c>
    </row>
    <row r="948" spans="1:13" x14ac:dyDescent="0.2">
      <c r="A948">
        <v>7531</v>
      </c>
      <c r="B948">
        <v>95</v>
      </c>
      <c r="C948" t="s">
        <v>1069</v>
      </c>
      <c r="D948" t="s">
        <v>2009</v>
      </c>
      <c r="E948" t="s">
        <v>1068</v>
      </c>
      <c r="F948" s="8" t="s">
        <v>3007</v>
      </c>
      <c r="G948" t="str">
        <f t="shared" si="100"/>
        <v>(7531,</v>
      </c>
      <c r="H948" t="str">
        <f t="shared" si="101"/>
        <v>95,</v>
      </c>
      <c r="I948" t="str">
        <f t="shared" si="102"/>
        <v>'MSFT',</v>
      </c>
      <c r="J948" t="str">
        <f t="shared" si="103"/>
        <v>102.06,</v>
      </c>
      <c r="K948" t="str">
        <f t="shared" si="104"/>
        <v>'BUY',</v>
      </c>
      <c r="L948" t="str">
        <f t="shared" si="105"/>
        <v>'2024-05-28 19:31:00'),</v>
      </c>
      <c r="M948" t="str">
        <f t="shared" si="106"/>
        <v>(7531,95,'MSFT',102.06,'BUY','2024-05-28 19:31:00'),</v>
      </c>
    </row>
    <row r="949" spans="1:13" x14ac:dyDescent="0.2">
      <c r="A949">
        <v>5705</v>
      </c>
      <c r="B949">
        <v>574</v>
      </c>
      <c r="C949" t="s">
        <v>1063</v>
      </c>
      <c r="D949" t="s">
        <v>2010</v>
      </c>
      <c r="E949" t="s">
        <v>1068</v>
      </c>
      <c r="F949" s="8" t="s">
        <v>3008</v>
      </c>
      <c r="G949" t="str">
        <f t="shared" si="100"/>
        <v>(5705,</v>
      </c>
      <c r="H949" t="str">
        <f t="shared" si="101"/>
        <v>574,</v>
      </c>
      <c r="I949" t="str">
        <f t="shared" si="102"/>
        <v>'META',</v>
      </c>
      <c r="J949" t="str">
        <f t="shared" si="103"/>
        <v>648.12,</v>
      </c>
      <c r="K949" t="str">
        <f t="shared" si="104"/>
        <v>'BUY',</v>
      </c>
      <c r="L949" t="str">
        <f t="shared" si="105"/>
        <v>'2024-01-05 19:38:00'),</v>
      </c>
      <c r="M949" t="str">
        <f t="shared" si="106"/>
        <v>(5705,574,'META',648.12,'BUY','2024-01-05 19:38:00'),</v>
      </c>
    </row>
    <row r="950" spans="1:13" x14ac:dyDescent="0.2">
      <c r="A950">
        <v>9952</v>
      </c>
      <c r="B950">
        <v>704</v>
      </c>
      <c r="C950" t="s">
        <v>1063</v>
      </c>
      <c r="D950" t="s">
        <v>2011</v>
      </c>
      <c r="E950" t="s">
        <v>1068</v>
      </c>
      <c r="F950" s="8" t="s">
        <v>3009</v>
      </c>
      <c r="G950" t="str">
        <f t="shared" si="100"/>
        <v>(9952,</v>
      </c>
      <c r="H950" t="str">
        <f t="shared" si="101"/>
        <v>704,</v>
      </c>
      <c r="I950" t="str">
        <f t="shared" si="102"/>
        <v>'META',</v>
      </c>
      <c r="J950" t="str">
        <f t="shared" si="103"/>
        <v>740.46,</v>
      </c>
      <c r="K950" t="str">
        <f t="shared" si="104"/>
        <v>'BUY',</v>
      </c>
      <c r="L950" t="str">
        <f t="shared" si="105"/>
        <v>'2024-01-06 05:18:00'),</v>
      </c>
      <c r="M950" t="str">
        <f t="shared" si="106"/>
        <v>(9952,704,'META',740.46,'BUY','2024-01-06 05:18:00'),</v>
      </c>
    </row>
    <row r="951" spans="1:13" x14ac:dyDescent="0.2">
      <c r="A951">
        <v>6298</v>
      </c>
      <c r="B951">
        <v>86</v>
      </c>
      <c r="C951" t="s">
        <v>1060</v>
      </c>
      <c r="D951" t="s">
        <v>2012</v>
      </c>
      <c r="E951" t="s">
        <v>1062</v>
      </c>
      <c r="F951" s="8" t="s">
        <v>3010</v>
      </c>
      <c r="G951" t="str">
        <f t="shared" si="100"/>
        <v>(6298,</v>
      </c>
      <c r="H951" t="str">
        <f t="shared" si="101"/>
        <v>86,</v>
      </c>
      <c r="I951" t="str">
        <f t="shared" si="102"/>
        <v>'TSLA',</v>
      </c>
      <c r="J951" t="str">
        <f t="shared" si="103"/>
        <v>558.5,</v>
      </c>
      <c r="K951" t="str">
        <f t="shared" si="104"/>
        <v>'SELL',</v>
      </c>
      <c r="L951" t="str">
        <f t="shared" si="105"/>
        <v>'2024-05-10 06:44:00'),</v>
      </c>
      <c r="M951" t="str">
        <f t="shared" si="106"/>
        <v>(6298,86,'TSLA',558.5,'SELL','2024-05-10 06:44:00'),</v>
      </c>
    </row>
    <row r="952" spans="1:13" x14ac:dyDescent="0.2">
      <c r="A952">
        <v>1691</v>
      </c>
      <c r="B952">
        <v>779</v>
      </c>
      <c r="C952" t="s">
        <v>1069</v>
      </c>
      <c r="D952" t="s">
        <v>2013</v>
      </c>
      <c r="E952" t="s">
        <v>1062</v>
      </c>
      <c r="F952" s="8" t="s">
        <v>3011</v>
      </c>
      <c r="G952" t="str">
        <f t="shared" si="100"/>
        <v>(1691,</v>
      </c>
      <c r="H952" t="str">
        <f t="shared" si="101"/>
        <v>779,</v>
      </c>
      <c r="I952" t="str">
        <f t="shared" si="102"/>
        <v>'MSFT',</v>
      </c>
      <c r="J952" t="str">
        <f t="shared" si="103"/>
        <v>224.37,</v>
      </c>
      <c r="K952" t="str">
        <f t="shared" si="104"/>
        <v>'SELL',</v>
      </c>
      <c r="L952" t="str">
        <f t="shared" si="105"/>
        <v>'2024-03-23 09:38:00'),</v>
      </c>
      <c r="M952" t="str">
        <f t="shared" si="106"/>
        <v>(1691,779,'MSFT',224.37,'SELL','2024-03-23 09:38:00'),</v>
      </c>
    </row>
    <row r="953" spans="1:13" x14ac:dyDescent="0.2">
      <c r="A953">
        <v>9952</v>
      </c>
      <c r="B953">
        <v>533</v>
      </c>
      <c r="C953" t="s">
        <v>1060</v>
      </c>
      <c r="D953" t="s">
        <v>2014</v>
      </c>
      <c r="E953" t="s">
        <v>1062</v>
      </c>
      <c r="F953" s="8" t="s">
        <v>3012</v>
      </c>
      <c r="G953" t="str">
        <f t="shared" si="100"/>
        <v>(9952,</v>
      </c>
      <c r="H953" t="str">
        <f t="shared" si="101"/>
        <v>533,</v>
      </c>
      <c r="I953" t="str">
        <f t="shared" si="102"/>
        <v>'TSLA',</v>
      </c>
      <c r="J953" t="str">
        <f t="shared" si="103"/>
        <v>856.48,</v>
      </c>
      <c r="K953" t="str">
        <f t="shared" si="104"/>
        <v>'SELL',</v>
      </c>
      <c r="L953" t="str">
        <f t="shared" si="105"/>
        <v>'2024-03-06 21:08:00'),</v>
      </c>
      <c r="M953" t="str">
        <f t="shared" si="106"/>
        <v>(9952,533,'TSLA',856.48,'SELL','2024-03-06 21:08:00'),</v>
      </c>
    </row>
    <row r="954" spans="1:13" x14ac:dyDescent="0.2">
      <c r="A954">
        <v>5258</v>
      </c>
      <c r="B954">
        <v>516</v>
      </c>
      <c r="C954" t="s">
        <v>1069</v>
      </c>
      <c r="D954" t="s">
        <v>2015</v>
      </c>
      <c r="E954" t="s">
        <v>1062</v>
      </c>
      <c r="F954" s="8" t="s">
        <v>3013</v>
      </c>
      <c r="G954" t="str">
        <f t="shared" si="100"/>
        <v>(5258,</v>
      </c>
      <c r="H954" t="str">
        <f t="shared" si="101"/>
        <v>516,</v>
      </c>
      <c r="I954" t="str">
        <f t="shared" si="102"/>
        <v>'MSFT',</v>
      </c>
      <c r="J954" t="str">
        <f t="shared" si="103"/>
        <v>932.37,</v>
      </c>
      <c r="K954" t="str">
        <f t="shared" si="104"/>
        <v>'SELL',</v>
      </c>
      <c r="L954" t="str">
        <f t="shared" si="105"/>
        <v>'2024-03-09 21:06:00'),</v>
      </c>
      <c r="M954" t="str">
        <f t="shared" si="106"/>
        <v>(5258,516,'MSFT',932.37,'SELL','2024-03-09 21:06:00'),</v>
      </c>
    </row>
    <row r="955" spans="1:13" x14ac:dyDescent="0.2">
      <c r="A955">
        <v>1691</v>
      </c>
      <c r="B955">
        <v>655</v>
      </c>
      <c r="C955" t="s">
        <v>1060</v>
      </c>
      <c r="D955" t="s">
        <v>2016</v>
      </c>
      <c r="E955" t="s">
        <v>1062</v>
      </c>
      <c r="F955" s="8" t="s">
        <v>3014</v>
      </c>
      <c r="G955" t="str">
        <f t="shared" si="100"/>
        <v>(1691,</v>
      </c>
      <c r="H955" t="str">
        <f t="shared" si="101"/>
        <v>655,</v>
      </c>
      <c r="I955" t="str">
        <f t="shared" si="102"/>
        <v>'TSLA',</v>
      </c>
      <c r="J955" t="str">
        <f t="shared" si="103"/>
        <v>188.15,</v>
      </c>
      <c r="K955" t="str">
        <f t="shared" si="104"/>
        <v>'SELL',</v>
      </c>
      <c r="L955" t="str">
        <f t="shared" si="105"/>
        <v>'2024-05-23 21:47:00'),</v>
      </c>
      <c r="M955" t="str">
        <f t="shared" si="106"/>
        <v>(1691,655,'TSLA',188.15,'SELL','2024-05-23 21:47:00'),</v>
      </c>
    </row>
    <row r="956" spans="1:13" x14ac:dyDescent="0.2">
      <c r="A956">
        <v>4669</v>
      </c>
      <c r="B956">
        <v>445</v>
      </c>
      <c r="C956" t="s">
        <v>1069</v>
      </c>
      <c r="D956" t="s">
        <v>2017</v>
      </c>
      <c r="E956" t="s">
        <v>1062</v>
      </c>
      <c r="F956" s="8" t="s">
        <v>3015</v>
      </c>
      <c r="G956" t="str">
        <f t="shared" si="100"/>
        <v>(4669,</v>
      </c>
      <c r="H956" t="str">
        <f t="shared" si="101"/>
        <v>445,</v>
      </c>
      <c r="I956" t="str">
        <f t="shared" si="102"/>
        <v>'MSFT',</v>
      </c>
      <c r="J956" t="str">
        <f t="shared" si="103"/>
        <v>394.57,</v>
      </c>
      <c r="K956" t="str">
        <f t="shared" si="104"/>
        <v>'SELL',</v>
      </c>
      <c r="L956" t="str">
        <f t="shared" si="105"/>
        <v>'2024-05-25 01:44:00'),</v>
      </c>
      <c r="M956" t="str">
        <f t="shared" si="106"/>
        <v>(4669,445,'MSFT',394.57,'SELL','2024-05-25 01:44:00'),</v>
      </c>
    </row>
    <row r="957" spans="1:13" x14ac:dyDescent="0.2">
      <c r="A957">
        <v>5705</v>
      </c>
      <c r="B957">
        <v>754</v>
      </c>
      <c r="C957" t="s">
        <v>1069</v>
      </c>
      <c r="D957" t="s">
        <v>2018</v>
      </c>
      <c r="E957" t="s">
        <v>1068</v>
      </c>
      <c r="F957" s="8" t="s">
        <v>3016</v>
      </c>
      <c r="G957" t="str">
        <f t="shared" si="100"/>
        <v>(5705,</v>
      </c>
      <c r="H957" t="str">
        <f t="shared" si="101"/>
        <v>754,</v>
      </c>
      <c r="I957" t="str">
        <f t="shared" si="102"/>
        <v>'MSFT',</v>
      </c>
      <c r="J957" t="str">
        <f t="shared" si="103"/>
        <v>185.3,</v>
      </c>
      <c r="K957" t="str">
        <f t="shared" si="104"/>
        <v>'BUY',</v>
      </c>
      <c r="L957" t="str">
        <f t="shared" si="105"/>
        <v>'2024-01-07 14:24:00'),</v>
      </c>
      <c r="M957" t="str">
        <f t="shared" si="106"/>
        <v>(5705,754,'MSFT',185.3,'BUY','2024-01-07 14:24:00'),</v>
      </c>
    </row>
    <row r="958" spans="1:13" x14ac:dyDescent="0.2">
      <c r="A958">
        <v>6298</v>
      </c>
      <c r="B958">
        <v>751</v>
      </c>
      <c r="C958" t="s">
        <v>1069</v>
      </c>
      <c r="D958" t="s">
        <v>2019</v>
      </c>
      <c r="E958" t="s">
        <v>1068</v>
      </c>
      <c r="F958" s="8" t="s">
        <v>3017</v>
      </c>
      <c r="G958" t="str">
        <f t="shared" si="100"/>
        <v>(6298,</v>
      </c>
      <c r="H958" t="str">
        <f t="shared" si="101"/>
        <v>751,</v>
      </c>
      <c r="I958" t="str">
        <f t="shared" si="102"/>
        <v>'MSFT',</v>
      </c>
      <c r="J958" t="str">
        <f t="shared" si="103"/>
        <v>311.14,</v>
      </c>
      <c r="K958" t="str">
        <f t="shared" si="104"/>
        <v>'BUY',</v>
      </c>
      <c r="L958" t="str">
        <f t="shared" si="105"/>
        <v>'2024-05-27 20:57:00'),</v>
      </c>
      <c r="M958" t="str">
        <f t="shared" si="106"/>
        <v>(6298,751,'MSFT',311.14,'BUY','2024-05-27 20:57:00'),</v>
      </c>
    </row>
    <row r="959" spans="1:13" x14ac:dyDescent="0.2">
      <c r="A959">
        <v>4710</v>
      </c>
      <c r="B959">
        <v>101</v>
      </c>
      <c r="C959" t="s">
        <v>1060</v>
      </c>
      <c r="D959" t="s">
        <v>2020</v>
      </c>
      <c r="E959" t="s">
        <v>1068</v>
      </c>
      <c r="F959" s="8" t="s">
        <v>3018</v>
      </c>
      <c r="G959" t="str">
        <f t="shared" si="100"/>
        <v>(4710,</v>
      </c>
      <c r="H959" t="str">
        <f t="shared" si="101"/>
        <v>101,</v>
      </c>
      <c r="I959" t="str">
        <f t="shared" si="102"/>
        <v>'TSLA',</v>
      </c>
      <c r="J959" t="str">
        <f t="shared" si="103"/>
        <v>250.48,</v>
      </c>
      <c r="K959" t="str">
        <f t="shared" si="104"/>
        <v>'BUY',</v>
      </c>
      <c r="L959" t="str">
        <f t="shared" si="105"/>
        <v>'2024-01-01 04:59:00'),</v>
      </c>
      <c r="M959" t="str">
        <f t="shared" si="106"/>
        <v>(4710,101,'TSLA',250.48,'BUY','2024-01-01 04:59:00'),</v>
      </c>
    </row>
    <row r="960" spans="1:13" x14ac:dyDescent="0.2">
      <c r="A960">
        <v>6298</v>
      </c>
      <c r="B960">
        <v>512</v>
      </c>
      <c r="C960" t="s">
        <v>1069</v>
      </c>
      <c r="D960" t="s">
        <v>2021</v>
      </c>
      <c r="E960" t="s">
        <v>1068</v>
      </c>
      <c r="F960" s="8" t="s">
        <v>3019</v>
      </c>
      <c r="G960" t="str">
        <f t="shared" si="100"/>
        <v>(6298,</v>
      </c>
      <c r="H960" t="str">
        <f t="shared" si="101"/>
        <v>512,</v>
      </c>
      <c r="I960" t="str">
        <f t="shared" si="102"/>
        <v>'MSFT',</v>
      </c>
      <c r="J960" t="str">
        <f t="shared" si="103"/>
        <v>137.19,</v>
      </c>
      <c r="K960" t="str">
        <f t="shared" si="104"/>
        <v>'BUY',</v>
      </c>
      <c r="L960" t="str">
        <f t="shared" si="105"/>
        <v>'2024-05-17 12:50:00'),</v>
      </c>
      <c r="M960" t="str">
        <f t="shared" si="106"/>
        <v>(6298,512,'MSFT',137.19,'BUY','2024-05-17 12:50:00'),</v>
      </c>
    </row>
    <row r="961" spans="1:13" x14ac:dyDescent="0.2">
      <c r="A961">
        <v>5258</v>
      </c>
      <c r="B961">
        <v>341</v>
      </c>
      <c r="C961" t="s">
        <v>1069</v>
      </c>
      <c r="D961" t="s">
        <v>2022</v>
      </c>
      <c r="E961" t="s">
        <v>1062</v>
      </c>
      <c r="F961" s="8" t="s">
        <v>3020</v>
      </c>
      <c r="G961" t="str">
        <f t="shared" si="100"/>
        <v>(5258,</v>
      </c>
      <c r="H961" t="str">
        <f t="shared" si="101"/>
        <v>341,</v>
      </c>
      <c r="I961" t="str">
        <f t="shared" si="102"/>
        <v>'MSFT',</v>
      </c>
      <c r="J961" t="str">
        <f t="shared" si="103"/>
        <v>512.37,</v>
      </c>
      <c r="K961" t="str">
        <f t="shared" si="104"/>
        <v>'SELL',</v>
      </c>
      <c r="L961" t="str">
        <f t="shared" si="105"/>
        <v>'2024-04-22 04:01:00'),</v>
      </c>
      <c r="M961" t="str">
        <f t="shared" si="106"/>
        <v>(5258,341,'MSFT',512.37,'SELL','2024-04-22 04:01:00'),</v>
      </c>
    </row>
    <row r="962" spans="1:13" x14ac:dyDescent="0.2">
      <c r="A962">
        <v>7922</v>
      </c>
      <c r="B962">
        <v>217</v>
      </c>
      <c r="C962" t="s">
        <v>1066</v>
      </c>
      <c r="D962" t="s">
        <v>2023</v>
      </c>
      <c r="E962" t="s">
        <v>1068</v>
      </c>
      <c r="F962" s="8" t="s">
        <v>3021</v>
      </c>
      <c r="G962" t="str">
        <f t="shared" si="100"/>
        <v>(7922,</v>
      </c>
      <c r="H962" t="str">
        <f t="shared" si="101"/>
        <v>217,</v>
      </c>
      <c r="I962" t="str">
        <f t="shared" si="102"/>
        <v>'AMZN',</v>
      </c>
      <c r="J962" t="str">
        <f t="shared" si="103"/>
        <v>738.44,</v>
      </c>
      <c r="K962" t="str">
        <f t="shared" si="104"/>
        <v>'BUY',</v>
      </c>
      <c r="L962" t="str">
        <f t="shared" si="105"/>
        <v>'2024-01-20 07:12:00'),</v>
      </c>
      <c r="M962" t="str">
        <f t="shared" si="106"/>
        <v>(7922,217,'AMZN',738.44,'BUY','2024-01-20 07:12:00'),</v>
      </c>
    </row>
    <row r="963" spans="1:13" x14ac:dyDescent="0.2">
      <c r="A963">
        <v>6298</v>
      </c>
      <c r="B963">
        <v>788</v>
      </c>
      <c r="C963" t="s">
        <v>1063</v>
      </c>
      <c r="D963" t="s">
        <v>2024</v>
      </c>
      <c r="E963" t="s">
        <v>1062</v>
      </c>
      <c r="F963" s="8" t="s">
        <v>3022</v>
      </c>
      <c r="G963" t="str">
        <f t="shared" ref="G963:G1001" si="107">"("&amp;A963&amp;","</f>
        <v>(6298,</v>
      </c>
      <c r="H963" t="str">
        <f t="shared" ref="H963:H1001" si="108">B963&amp;","</f>
        <v>788,</v>
      </c>
      <c r="I963" t="str">
        <f t="shared" ref="I963:I1001" si="109">"'"&amp;C963&amp;"',"</f>
        <v>'META',</v>
      </c>
      <c r="J963" t="str">
        <f t="shared" ref="J963:J1001" si="110">D963&amp;","</f>
        <v>404.81,</v>
      </c>
      <c r="K963" t="str">
        <f t="shared" ref="K963:K1001" si="111">"'"&amp;E963&amp;"',"</f>
        <v>'SELL',</v>
      </c>
      <c r="L963" t="str">
        <f t="shared" ref="L963:L1001" si="112">"'"&amp;F963&amp;"'),"</f>
        <v>'2024-02-25 23:05:00'),</v>
      </c>
      <c r="M963" t="str">
        <f t="shared" ref="M963:M1001" si="113">G963&amp;H963&amp;I963&amp;J963&amp;K963&amp;L963</f>
        <v>(6298,788,'META',404.81,'SELL','2024-02-25 23:05:00'),</v>
      </c>
    </row>
    <row r="964" spans="1:13" x14ac:dyDescent="0.2">
      <c r="A964">
        <v>5705</v>
      </c>
      <c r="B964">
        <v>806</v>
      </c>
      <c r="C964" t="s">
        <v>1069</v>
      </c>
      <c r="D964" t="s">
        <v>2025</v>
      </c>
      <c r="E964" t="s">
        <v>1068</v>
      </c>
      <c r="F964" s="8" t="s">
        <v>3023</v>
      </c>
      <c r="G964" t="str">
        <f t="shared" si="107"/>
        <v>(5705,</v>
      </c>
      <c r="H964" t="str">
        <f t="shared" si="108"/>
        <v>806,</v>
      </c>
      <c r="I964" t="str">
        <f t="shared" si="109"/>
        <v>'MSFT',</v>
      </c>
      <c r="J964" t="str">
        <f t="shared" si="110"/>
        <v>877.8,</v>
      </c>
      <c r="K964" t="str">
        <f t="shared" si="111"/>
        <v>'BUY',</v>
      </c>
      <c r="L964" t="str">
        <f t="shared" si="112"/>
        <v>'2024-03-16 22:44:00'),</v>
      </c>
      <c r="M964" t="str">
        <f t="shared" si="113"/>
        <v>(5705,806,'MSFT',877.8,'BUY','2024-03-16 22:44:00'),</v>
      </c>
    </row>
    <row r="965" spans="1:13" x14ac:dyDescent="0.2">
      <c r="A965">
        <v>1691</v>
      </c>
      <c r="B965">
        <v>951</v>
      </c>
      <c r="C965" t="s">
        <v>1069</v>
      </c>
      <c r="D965" t="s">
        <v>2026</v>
      </c>
      <c r="E965" t="s">
        <v>1068</v>
      </c>
      <c r="F965" s="8" t="s">
        <v>3024</v>
      </c>
      <c r="G965" t="str">
        <f t="shared" si="107"/>
        <v>(1691,</v>
      </c>
      <c r="H965" t="str">
        <f t="shared" si="108"/>
        <v>951,</v>
      </c>
      <c r="I965" t="str">
        <f t="shared" si="109"/>
        <v>'MSFT',</v>
      </c>
      <c r="J965" t="str">
        <f t="shared" si="110"/>
        <v>872.35,</v>
      </c>
      <c r="K965" t="str">
        <f t="shared" si="111"/>
        <v>'BUY',</v>
      </c>
      <c r="L965" t="str">
        <f t="shared" si="112"/>
        <v>'2024-03-14 21:05:00'),</v>
      </c>
      <c r="M965" t="str">
        <f t="shared" si="113"/>
        <v>(1691,951,'MSFT',872.35,'BUY','2024-03-14 21:05:00'),</v>
      </c>
    </row>
    <row r="966" spans="1:13" x14ac:dyDescent="0.2">
      <c r="A966">
        <v>4669</v>
      </c>
      <c r="B966">
        <v>531</v>
      </c>
      <c r="C966" t="s">
        <v>1060</v>
      </c>
      <c r="D966" t="s">
        <v>2027</v>
      </c>
      <c r="E966" t="s">
        <v>1068</v>
      </c>
      <c r="F966" s="8" t="s">
        <v>3025</v>
      </c>
      <c r="G966" t="str">
        <f t="shared" si="107"/>
        <v>(4669,</v>
      </c>
      <c r="H966" t="str">
        <f t="shared" si="108"/>
        <v>531,</v>
      </c>
      <c r="I966" t="str">
        <f t="shared" si="109"/>
        <v>'TSLA',</v>
      </c>
      <c r="J966" t="str">
        <f t="shared" si="110"/>
        <v>738.09,</v>
      </c>
      <c r="K966" t="str">
        <f t="shared" si="111"/>
        <v>'BUY',</v>
      </c>
      <c r="L966" t="str">
        <f t="shared" si="112"/>
        <v>'2024-03-17 06:00:00'),</v>
      </c>
      <c r="M966" t="str">
        <f t="shared" si="113"/>
        <v>(4669,531,'TSLA',738.09,'BUY','2024-03-17 06:00:00'),</v>
      </c>
    </row>
    <row r="967" spans="1:13" x14ac:dyDescent="0.2">
      <c r="A967">
        <v>7531</v>
      </c>
      <c r="B967">
        <v>878</v>
      </c>
      <c r="C967" t="s">
        <v>1069</v>
      </c>
      <c r="D967" t="s">
        <v>1743</v>
      </c>
      <c r="E967" t="s">
        <v>1062</v>
      </c>
      <c r="F967" s="8" t="s">
        <v>3026</v>
      </c>
      <c r="G967" t="str">
        <f t="shared" si="107"/>
        <v>(7531,</v>
      </c>
      <c r="H967" t="str">
        <f t="shared" si="108"/>
        <v>878,</v>
      </c>
      <c r="I967" t="str">
        <f t="shared" si="109"/>
        <v>'MSFT',</v>
      </c>
      <c r="J967" t="str">
        <f t="shared" si="110"/>
        <v>157.63,</v>
      </c>
      <c r="K967" t="str">
        <f t="shared" si="111"/>
        <v>'SELL',</v>
      </c>
      <c r="L967" t="str">
        <f t="shared" si="112"/>
        <v>'2024-02-10 12:32:00'),</v>
      </c>
      <c r="M967" t="str">
        <f t="shared" si="113"/>
        <v>(7531,878,'MSFT',157.63,'SELL','2024-02-10 12:32:00'),</v>
      </c>
    </row>
    <row r="968" spans="1:13" x14ac:dyDescent="0.2">
      <c r="A968">
        <v>7938</v>
      </c>
      <c r="B968">
        <v>898</v>
      </c>
      <c r="C968" t="s">
        <v>1063</v>
      </c>
      <c r="D968" t="s">
        <v>2028</v>
      </c>
      <c r="E968" t="s">
        <v>1068</v>
      </c>
      <c r="F968" s="8" t="s">
        <v>3027</v>
      </c>
      <c r="G968" t="str">
        <f t="shared" si="107"/>
        <v>(7938,</v>
      </c>
      <c r="H968" t="str">
        <f t="shared" si="108"/>
        <v>898,</v>
      </c>
      <c r="I968" t="str">
        <f t="shared" si="109"/>
        <v>'META',</v>
      </c>
      <c r="J968" t="str">
        <f t="shared" si="110"/>
        <v>840.35,</v>
      </c>
      <c r="K968" t="str">
        <f t="shared" si="111"/>
        <v>'BUY',</v>
      </c>
      <c r="L968" t="str">
        <f t="shared" si="112"/>
        <v>'2024-01-21 18:54:00'),</v>
      </c>
      <c r="M968" t="str">
        <f t="shared" si="113"/>
        <v>(7938,898,'META',840.35,'BUY','2024-01-21 18:54:00'),</v>
      </c>
    </row>
    <row r="969" spans="1:13" x14ac:dyDescent="0.2">
      <c r="A969">
        <v>9094</v>
      </c>
      <c r="B969">
        <v>746</v>
      </c>
      <c r="C969" t="s">
        <v>1060</v>
      </c>
      <c r="D969" t="s">
        <v>2029</v>
      </c>
      <c r="E969" t="s">
        <v>1068</v>
      </c>
      <c r="F969" s="8" t="s">
        <v>3028</v>
      </c>
      <c r="G969" t="str">
        <f t="shared" si="107"/>
        <v>(9094,</v>
      </c>
      <c r="H969" t="str">
        <f t="shared" si="108"/>
        <v>746,</v>
      </c>
      <c r="I969" t="str">
        <f t="shared" si="109"/>
        <v>'TSLA',</v>
      </c>
      <c r="J969" t="str">
        <f t="shared" si="110"/>
        <v>280.56,</v>
      </c>
      <c r="K969" t="str">
        <f t="shared" si="111"/>
        <v>'BUY',</v>
      </c>
      <c r="L969" t="str">
        <f t="shared" si="112"/>
        <v>'2024-05-21 14:03:00'),</v>
      </c>
      <c r="M969" t="str">
        <f t="shared" si="113"/>
        <v>(9094,746,'TSLA',280.56,'BUY','2024-05-21 14:03:00'),</v>
      </c>
    </row>
    <row r="970" spans="1:13" x14ac:dyDescent="0.2">
      <c r="A970">
        <v>5297</v>
      </c>
      <c r="B970">
        <v>213</v>
      </c>
      <c r="C970" t="s">
        <v>1060</v>
      </c>
      <c r="D970" t="s">
        <v>2030</v>
      </c>
      <c r="E970" t="s">
        <v>1062</v>
      </c>
      <c r="F970" s="8" t="s">
        <v>3029</v>
      </c>
      <c r="G970" t="str">
        <f t="shared" si="107"/>
        <v>(5297,</v>
      </c>
      <c r="H970" t="str">
        <f t="shared" si="108"/>
        <v>213,</v>
      </c>
      <c r="I970" t="str">
        <f t="shared" si="109"/>
        <v>'TSLA',</v>
      </c>
      <c r="J970" t="str">
        <f t="shared" si="110"/>
        <v>725.67,</v>
      </c>
      <c r="K970" t="str">
        <f t="shared" si="111"/>
        <v>'SELL',</v>
      </c>
      <c r="L970" t="str">
        <f t="shared" si="112"/>
        <v>'2024-02-15 22:05:00'),</v>
      </c>
      <c r="M970" t="str">
        <f t="shared" si="113"/>
        <v>(5297,213,'TSLA',725.67,'SELL','2024-02-15 22:05:00'),</v>
      </c>
    </row>
    <row r="971" spans="1:13" x14ac:dyDescent="0.2">
      <c r="A971">
        <v>9952</v>
      </c>
      <c r="B971">
        <v>538</v>
      </c>
      <c r="C971" t="s">
        <v>1063</v>
      </c>
      <c r="D971" t="s">
        <v>2031</v>
      </c>
      <c r="E971" t="s">
        <v>1062</v>
      </c>
      <c r="F971" s="8" t="s">
        <v>3030</v>
      </c>
      <c r="G971" t="str">
        <f t="shared" si="107"/>
        <v>(9952,</v>
      </c>
      <c r="H971" t="str">
        <f t="shared" si="108"/>
        <v>538,</v>
      </c>
      <c r="I971" t="str">
        <f t="shared" si="109"/>
        <v>'META',</v>
      </c>
      <c r="J971" t="str">
        <f t="shared" si="110"/>
        <v>993.45,</v>
      </c>
      <c r="K971" t="str">
        <f t="shared" si="111"/>
        <v>'SELL',</v>
      </c>
      <c r="L971" t="str">
        <f t="shared" si="112"/>
        <v>'2024-02-12 12:31:00'),</v>
      </c>
      <c r="M971" t="str">
        <f t="shared" si="113"/>
        <v>(9952,538,'META',993.45,'SELL','2024-02-12 12:31:00'),</v>
      </c>
    </row>
    <row r="972" spans="1:13" x14ac:dyDescent="0.2">
      <c r="A972">
        <v>6298</v>
      </c>
      <c r="B972">
        <v>81</v>
      </c>
      <c r="C972" t="s">
        <v>1063</v>
      </c>
      <c r="D972" t="s">
        <v>2032</v>
      </c>
      <c r="E972" t="s">
        <v>1068</v>
      </c>
      <c r="F972" s="8" t="s">
        <v>3031</v>
      </c>
      <c r="G972" t="str">
        <f t="shared" si="107"/>
        <v>(6298,</v>
      </c>
      <c r="H972" t="str">
        <f t="shared" si="108"/>
        <v>81,</v>
      </c>
      <c r="I972" t="str">
        <f t="shared" si="109"/>
        <v>'META',</v>
      </c>
      <c r="J972" t="str">
        <f t="shared" si="110"/>
        <v>946.21,</v>
      </c>
      <c r="K972" t="str">
        <f t="shared" si="111"/>
        <v>'BUY',</v>
      </c>
      <c r="L972" t="str">
        <f t="shared" si="112"/>
        <v>'2024-05-30 10:14:00'),</v>
      </c>
      <c r="M972" t="str">
        <f t="shared" si="113"/>
        <v>(6298,81,'META',946.21,'BUY','2024-05-30 10:14:00'),</v>
      </c>
    </row>
    <row r="973" spans="1:13" x14ac:dyDescent="0.2">
      <c r="A973">
        <v>5751</v>
      </c>
      <c r="B973">
        <v>90</v>
      </c>
      <c r="C973" t="s">
        <v>1063</v>
      </c>
      <c r="D973" t="s">
        <v>2033</v>
      </c>
      <c r="E973" t="s">
        <v>1062</v>
      </c>
      <c r="F973" s="8" t="s">
        <v>3032</v>
      </c>
      <c r="G973" t="str">
        <f t="shared" si="107"/>
        <v>(5751,</v>
      </c>
      <c r="H973" t="str">
        <f t="shared" si="108"/>
        <v>90,</v>
      </c>
      <c r="I973" t="str">
        <f t="shared" si="109"/>
        <v>'META',</v>
      </c>
      <c r="J973" t="str">
        <f t="shared" si="110"/>
        <v>743.23,</v>
      </c>
      <c r="K973" t="str">
        <f t="shared" si="111"/>
        <v>'SELL',</v>
      </c>
      <c r="L973" t="str">
        <f t="shared" si="112"/>
        <v>'2024-05-30 21:20:00'),</v>
      </c>
      <c r="M973" t="str">
        <f t="shared" si="113"/>
        <v>(5751,90,'META',743.23,'SELL','2024-05-30 21:20:00'),</v>
      </c>
    </row>
    <row r="974" spans="1:13" x14ac:dyDescent="0.2">
      <c r="A974">
        <v>4168</v>
      </c>
      <c r="B974">
        <v>837</v>
      </c>
      <c r="C974" t="s">
        <v>1060</v>
      </c>
      <c r="D974" t="s">
        <v>2034</v>
      </c>
      <c r="E974" t="s">
        <v>1062</v>
      </c>
      <c r="F974" s="8" t="s">
        <v>3033</v>
      </c>
      <c r="G974" t="str">
        <f t="shared" si="107"/>
        <v>(4168,</v>
      </c>
      <c r="H974" t="str">
        <f t="shared" si="108"/>
        <v>837,</v>
      </c>
      <c r="I974" t="str">
        <f t="shared" si="109"/>
        <v>'TSLA',</v>
      </c>
      <c r="J974" t="str">
        <f t="shared" si="110"/>
        <v>961.99,</v>
      </c>
      <c r="K974" t="str">
        <f t="shared" si="111"/>
        <v>'SELL',</v>
      </c>
      <c r="L974" t="str">
        <f t="shared" si="112"/>
        <v>'2024-04-14 17:22:00'),</v>
      </c>
      <c r="M974" t="str">
        <f t="shared" si="113"/>
        <v>(4168,837,'TSLA',961.99,'SELL','2024-04-14 17:22:00'),</v>
      </c>
    </row>
    <row r="975" spans="1:13" x14ac:dyDescent="0.2">
      <c r="A975">
        <v>5705</v>
      </c>
      <c r="B975">
        <v>696</v>
      </c>
      <c r="C975" t="s">
        <v>1063</v>
      </c>
      <c r="D975" t="s">
        <v>2035</v>
      </c>
      <c r="E975" t="s">
        <v>1068</v>
      </c>
      <c r="F975" s="8" t="s">
        <v>3034</v>
      </c>
      <c r="G975" t="str">
        <f t="shared" si="107"/>
        <v>(5705,</v>
      </c>
      <c r="H975" t="str">
        <f t="shared" si="108"/>
        <v>696,</v>
      </c>
      <c r="I975" t="str">
        <f t="shared" si="109"/>
        <v>'META',</v>
      </c>
      <c r="J975" t="str">
        <f t="shared" si="110"/>
        <v>246.95,</v>
      </c>
      <c r="K975" t="str">
        <f t="shared" si="111"/>
        <v>'BUY',</v>
      </c>
      <c r="L975" t="str">
        <f t="shared" si="112"/>
        <v>'2024-01-25 01:05:00'),</v>
      </c>
      <c r="M975" t="str">
        <f t="shared" si="113"/>
        <v>(5705,696,'META',246.95,'BUY','2024-01-25 01:05:00'),</v>
      </c>
    </row>
    <row r="976" spans="1:13" x14ac:dyDescent="0.2">
      <c r="A976">
        <v>9952</v>
      </c>
      <c r="B976">
        <v>245</v>
      </c>
      <c r="C976" t="s">
        <v>1069</v>
      </c>
      <c r="D976" t="s">
        <v>2036</v>
      </c>
      <c r="E976" t="s">
        <v>1062</v>
      </c>
      <c r="F976" s="8" t="s">
        <v>3035</v>
      </c>
      <c r="G976" t="str">
        <f t="shared" si="107"/>
        <v>(9952,</v>
      </c>
      <c r="H976" t="str">
        <f t="shared" si="108"/>
        <v>245,</v>
      </c>
      <c r="I976" t="str">
        <f t="shared" si="109"/>
        <v>'MSFT',</v>
      </c>
      <c r="J976" t="str">
        <f t="shared" si="110"/>
        <v>938.69,</v>
      </c>
      <c r="K976" t="str">
        <f t="shared" si="111"/>
        <v>'SELL',</v>
      </c>
      <c r="L976" t="str">
        <f t="shared" si="112"/>
        <v>'2024-05-19 13:50:00'),</v>
      </c>
      <c r="M976" t="str">
        <f t="shared" si="113"/>
        <v>(9952,245,'MSFT',938.69,'SELL','2024-05-19 13:50:00'),</v>
      </c>
    </row>
    <row r="977" spans="1:13" x14ac:dyDescent="0.2">
      <c r="A977">
        <v>6298</v>
      </c>
      <c r="B977">
        <v>91</v>
      </c>
      <c r="C977" t="s">
        <v>1063</v>
      </c>
      <c r="D977" t="s">
        <v>2037</v>
      </c>
      <c r="E977" t="s">
        <v>1062</v>
      </c>
      <c r="F977" s="8" t="s">
        <v>3036</v>
      </c>
      <c r="G977" t="str">
        <f t="shared" si="107"/>
        <v>(6298,</v>
      </c>
      <c r="H977" t="str">
        <f t="shared" si="108"/>
        <v>91,</v>
      </c>
      <c r="I977" t="str">
        <f t="shared" si="109"/>
        <v>'META',</v>
      </c>
      <c r="J977" t="str">
        <f t="shared" si="110"/>
        <v>492.31,</v>
      </c>
      <c r="K977" t="str">
        <f t="shared" si="111"/>
        <v>'SELL',</v>
      </c>
      <c r="L977" t="str">
        <f t="shared" si="112"/>
        <v>'2024-02-18 02:34:00'),</v>
      </c>
      <c r="M977" t="str">
        <f t="shared" si="113"/>
        <v>(6298,91,'META',492.31,'SELL','2024-02-18 02:34:00'),</v>
      </c>
    </row>
    <row r="978" spans="1:13" x14ac:dyDescent="0.2">
      <c r="A978">
        <v>9952</v>
      </c>
      <c r="B978">
        <v>368</v>
      </c>
      <c r="C978" t="s">
        <v>1060</v>
      </c>
      <c r="D978" t="s">
        <v>2038</v>
      </c>
      <c r="E978" t="s">
        <v>1062</v>
      </c>
      <c r="F978" s="8" t="s">
        <v>3037</v>
      </c>
      <c r="G978" t="str">
        <f t="shared" si="107"/>
        <v>(9952,</v>
      </c>
      <c r="H978" t="str">
        <f t="shared" si="108"/>
        <v>368,</v>
      </c>
      <c r="I978" t="str">
        <f t="shared" si="109"/>
        <v>'TSLA',</v>
      </c>
      <c r="J978" t="str">
        <f t="shared" si="110"/>
        <v>263.44,</v>
      </c>
      <c r="K978" t="str">
        <f t="shared" si="111"/>
        <v>'SELL',</v>
      </c>
      <c r="L978" t="str">
        <f t="shared" si="112"/>
        <v>'2024-02-16 21:18:00'),</v>
      </c>
      <c r="M978" t="str">
        <f t="shared" si="113"/>
        <v>(9952,368,'TSLA',263.44,'SELL','2024-02-16 21:18:00'),</v>
      </c>
    </row>
    <row r="979" spans="1:13" x14ac:dyDescent="0.2">
      <c r="A979">
        <v>5258</v>
      </c>
      <c r="B979">
        <v>838</v>
      </c>
      <c r="C979" t="s">
        <v>1069</v>
      </c>
      <c r="D979" t="s">
        <v>2039</v>
      </c>
      <c r="E979" t="s">
        <v>1062</v>
      </c>
      <c r="F979" s="8" t="s">
        <v>3038</v>
      </c>
      <c r="G979" t="str">
        <f t="shared" si="107"/>
        <v>(5258,</v>
      </c>
      <c r="H979" t="str">
        <f t="shared" si="108"/>
        <v>838,</v>
      </c>
      <c r="I979" t="str">
        <f t="shared" si="109"/>
        <v>'MSFT',</v>
      </c>
      <c r="J979" t="str">
        <f t="shared" si="110"/>
        <v>842.67,</v>
      </c>
      <c r="K979" t="str">
        <f t="shared" si="111"/>
        <v>'SELL',</v>
      </c>
      <c r="L979" t="str">
        <f t="shared" si="112"/>
        <v>'2024-03-07 00:30:00'),</v>
      </c>
      <c r="M979" t="str">
        <f t="shared" si="113"/>
        <v>(5258,838,'MSFT',842.67,'SELL','2024-03-07 00:30:00'),</v>
      </c>
    </row>
    <row r="980" spans="1:13" x14ac:dyDescent="0.2">
      <c r="A980">
        <v>9952</v>
      </c>
      <c r="B980">
        <v>449</v>
      </c>
      <c r="C980" t="s">
        <v>1063</v>
      </c>
      <c r="D980" t="s">
        <v>2040</v>
      </c>
      <c r="E980" t="s">
        <v>1068</v>
      </c>
      <c r="F980" s="8" t="s">
        <v>3039</v>
      </c>
      <c r="G980" t="str">
        <f t="shared" si="107"/>
        <v>(9952,</v>
      </c>
      <c r="H980" t="str">
        <f t="shared" si="108"/>
        <v>449,</v>
      </c>
      <c r="I980" t="str">
        <f t="shared" si="109"/>
        <v>'META',</v>
      </c>
      <c r="J980" t="str">
        <f t="shared" si="110"/>
        <v>778.09,</v>
      </c>
      <c r="K980" t="str">
        <f t="shared" si="111"/>
        <v>'BUY',</v>
      </c>
      <c r="L980" t="str">
        <f t="shared" si="112"/>
        <v>'2024-05-13 13:35:00'),</v>
      </c>
      <c r="M980" t="str">
        <f t="shared" si="113"/>
        <v>(9952,449,'META',778.09,'BUY','2024-05-13 13:35:00'),</v>
      </c>
    </row>
    <row r="981" spans="1:13" x14ac:dyDescent="0.2">
      <c r="A981">
        <v>7922</v>
      </c>
      <c r="B981">
        <v>964</v>
      </c>
      <c r="C981" t="s">
        <v>1066</v>
      </c>
      <c r="D981" t="s">
        <v>2041</v>
      </c>
      <c r="E981" t="s">
        <v>1062</v>
      </c>
      <c r="F981" s="8" t="s">
        <v>3040</v>
      </c>
      <c r="G981" t="str">
        <f t="shared" si="107"/>
        <v>(7922,</v>
      </c>
      <c r="H981" t="str">
        <f t="shared" si="108"/>
        <v>964,</v>
      </c>
      <c r="I981" t="str">
        <f t="shared" si="109"/>
        <v>'AMZN',</v>
      </c>
      <c r="J981" t="str">
        <f t="shared" si="110"/>
        <v>131.7,</v>
      </c>
      <c r="K981" t="str">
        <f t="shared" si="111"/>
        <v>'SELL',</v>
      </c>
      <c r="L981" t="str">
        <f t="shared" si="112"/>
        <v>'2024-03-13 11:44:00'),</v>
      </c>
      <c r="M981" t="str">
        <f t="shared" si="113"/>
        <v>(7922,964,'AMZN',131.7,'SELL','2024-03-13 11:44:00'),</v>
      </c>
    </row>
    <row r="982" spans="1:13" x14ac:dyDescent="0.2">
      <c r="A982">
        <v>7531</v>
      </c>
      <c r="B982">
        <v>155</v>
      </c>
      <c r="C982" t="s">
        <v>1069</v>
      </c>
      <c r="D982" t="s">
        <v>2042</v>
      </c>
      <c r="E982" t="s">
        <v>1062</v>
      </c>
      <c r="F982" s="8" t="s">
        <v>3041</v>
      </c>
      <c r="G982" t="str">
        <f t="shared" si="107"/>
        <v>(7531,</v>
      </c>
      <c r="H982" t="str">
        <f t="shared" si="108"/>
        <v>155,</v>
      </c>
      <c r="I982" t="str">
        <f t="shared" si="109"/>
        <v>'MSFT',</v>
      </c>
      <c r="J982" t="str">
        <f t="shared" si="110"/>
        <v>348.47,</v>
      </c>
      <c r="K982" t="str">
        <f t="shared" si="111"/>
        <v>'SELL',</v>
      </c>
      <c r="L982" t="str">
        <f t="shared" si="112"/>
        <v>'2024-04-24 11:50:00'),</v>
      </c>
      <c r="M982" t="str">
        <f t="shared" si="113"/>
        <v>(7531,155,'MSFT',348.47,'SELL','2024-04-24 11:50:00'),</v>
      </c>
    </row>
    <row r="983" spans="1:13" x14ac:dyDescent="0.2">
      <c r="A983">
        <v>6298</v>
      </c>
      <c r="B983">
        <v>5</v>
      </c>
      <c r="C983" t="s">
        <v>1063</v>
      </c>
      <c r="D983" t="s">
        <v>2043</v>
      </c>
      <c r="E983" t="s">
        <v>1068</v>
      </c>
      <c r="F983" s="8" t="s">
        <v>3042</v>
      </c>
      <c r="G983" t="str">
        <f t="shared" si="107"/>
        <v>(6298,</v>
      </c>
      <c r="H983" t="str">
        <f t="shared" si="108"/>
        <v>5,</v>
      </c>
      <c r="I983" t="str">
        <f t="shared" si="109"/>
        <v>'META',</v>
      </c>
      <c r="J983" t="str">
        <f t="shared" si="110"/>
        <v>948.76,</v>
      </c>
      <c r="K983" t="str">
        <f t="shared" si="111"/>
        <v>'BUY',</v>
      </c>
      <c r="L983" t="str">
        <f t="shared" si="112"/>
        <v>'2024-04-01 02:57:00'),</v>
      </c>
      <c r="M983" t="str">
        <f t="shared" si="113"/>
        <v>(6298,5,'META',948.76,'BUY','2024-04-01 02:57:00'),</v>
      </c>
    </row>
    <row r="984" spans="1:13" x14ac:dyDescent="0.2">
      <c r="A984">
        <v>5705</v>
      </c>
      <c r="B984">
        <v>486</v>
      </c>
      <c r="C984" t="s">
        <v>1063</v>
      </c>
      <c r="D984" t="s">
        <v>2044</v>
      </c>
      <c r="E984" t="s">
        <v>1068</v>
      </c>
      <c r="F984" s="8" t="s">
        <v>3043</v>
      </c>
      <c r="G984" t="str">
        <f t="shared" si="107"/>
        <v>(5705,</v>
      </c>
      <c r="H984" t="str">
        <f t="shared" si="108"/>
        <v>486,</v>
      </c>
      <c r="I984" t="str">
        <f t="shared" si="109"/>
        <v>'META',</v>
      </c>
      <c r="J984" t="str">
        <f t="shared" si="110"/>
        <v>623.67,</v>
      </c>
      <c r="K984" t="str">
        <f t="shared" si="111"/>
        <v>'BUY',</v>
      </c>
      <c r="L984" t="str">
        <f t="shared" si="112"/>
        <v>'2024-05-30 16:16:00'),</v>
      </c>
      <c r="M984" t="str">
        <f t="shared" si="113"/>
        <v>(5705,486,'META',623.67,'BUY','2024-05-30 16:16:00'),</v>
      </c>
    </row>
    <row r="985" spans="1:13" x14ac:dyDescent="0.2">
      <c r="A985">
        <v>2941</v>
      </c>
      <c r="B985">
        <v>438</v>
      </c>
      <c r="C985" t="s">
        <v>1060</v>
      </c>
      <c r="D985" t="s">
        <v>2045</v>
      </c>
      <c r="E985" t="s">
        <v>1068</v>
      </c>
      <c r="F985" s="8" t="s">
        <v>3044</v>
      </c>
      <c r="G985" t="str">
        <f t="shared" si="107"/>
        <v>(2941,</v>
      </c>
      <c r="H985" t="str">
        <f t="shared" si="108"/>
        <v>438,</v>
      </c>
      <c r="I985" t="str">
        <f t="shared" si="109"/>
        <v>'TSLA',</v>
      </c>
      <c r="J985" t="str">
        <f t="shared" si="110"/>
        <v>728.59,</v>
      </c>
      <c r="K985" t="str">
        <f t="shared" si="111"/>
        <v>'BUY',</v>
      </c>
      <c r="L985" t="str">
        <f t="shared" si="112"/>
        <v>'2024-02-08 09:36:00'),</v>
      </c>
      <c r="M985" t="str">
        <f t="shared" si="113"/>
        <v>(2941,438,'TSLA',728.59,'BUY','2024-02-08 09:36:00'),</v>
      </c>
    </row>
    <row r="986" spans="1:13" x14ac:dyDescent="0.2">
      <c r="A986">
        <v>5751</v>
      </c>
      <c r="B986">
        <v>40</v>
      </c>
      <c r="C986" t="s">
        <v>1069</v>
      </c>
      <c r="D986" t="s">
        <v>2046</v>
      </c>
      <c r="E986" t="s">
        <v>1068</v>
      </c>
      <c r="F986" s="8" t="s">
        <v>3045</v>
      </c>
      <c r="G986" t="str">
        <f t="shared" si="107"/>
        <v>(5751,</v>
      </c>
      <c r="H986" t="str">
        <f t="shared" si="108"/>
        <v>40,</v>
      </c>
      <c r="I986" t="str">
        <f t="shared" si="109"/>
        <v>'MSFT',</v>
      </c>
      <c r="J986" t="str">
        <f t="shared" si="110"/>
        <v>355.56,</v>
      </c>
      <c r="K986" t="str">
        <f t="shared" si="111"/>
        <v>'BUY',</v>
      </c>
      <c r="L986" t="str">
        <f t="shared" si="112"/>
        <v>'2024-03-01 19:36:00'),</v>
      </c>
      <c r="M986" t="str">
        <f t="shared" si="113"/>
        <v>(5751,40,'MSFT',355.56,'BUY','2024-03-01 19:36:00'),</v>
      </c>
    </row>
    <row r="987" spans="1:13" x14ac:dyDescent="0.2">
      <c r="A987">
        <v>9094</v>
      </c>
      <c r="B987">
        <v>201</v>
      </c>
      <c r="C987" t="s">
        <v>1069</v>
      </c>
      <c r="D987" t="s">
        <v>2047</v>
      </c>
      <c r="E987" t="s">
        <v>1062</v>
      </c>
      <c r="F987" s="8" t="s">
        <v>3046</v>
      </c>
      <c r="G987" t="str">
        <f t="shared" si="107"/>
        <v>(9094,</v>
      </c>
      <c r="H987" t="str">
        <f t="shared" si="108"/>
        <v>201,</v>
      </c>
      <c r="I987" t="str">
        <f t="shared" si="109"/>
        <v>'MSFT',</v>
      </c>
      <c r="J987" t="str">
        <f t="shared" si="110"/>
        <v>393.97,</v>
      </c>
      <c r="K987" t="str">
        <f t="shared" si="111"/>
        <v>'SELL',</v>
      </c>
      <c r="L987" t="str">
        <f t="shared" si="112"/>
        <v>'2024-03-09 20:44:00'),</v>
      </c>
      <c r="M987" t="str">
        <f t="shared" si="113"/>
        <v>(9094,201,'MSFT',393.97,'SELL','2024-03-09 20:44:00'),</v>
      </c>
    </row>
    <row r="988" spans="1:13" x14ac:dyDescent="0.2">
      <c r="A988">
        <v>4669</v>
      </c>
      <c r="B988">
        <v>911</v>
      </c>
      <c r="C988" t="s">
        <v>1066</v>
      </c>
      <c r="D988" t="s">
        <v>2048</v>
      </c>
      <c r="E988" t="s">
        <v>1068</v>
      </c>
      <c r="F988" s="8" t="s">
        <v>3047</v>
      </c>
      <c r="G988" t="str">
        <f t="shared" si="107"/>
        <v>(4669,</v>
      </c>
      <c r="H988" t="str">
        <f t="shared" si="108"/>
        <v>911,</v>
      </c>
      <c r="I988" t="str">
        <f t="shared" si="109"/>
        <v>'AMZN',</v>
      </c>
      <c r="J988" t="str">
        <f t="shared" si="110"/>
        <v>656.53,</v>
      </c>
      <c r="K988" t="str">
        <f t="shared" si="111"/>
        <v>'BUY',</v>
      </c>
      <c r="L988" t="str">
        <f t="shared" si="112"/>
        <v>'2024-05-07 19:40:00'),</v>
      </c>
      <c r="M988" t="str">
        <f t="shared" si="113"/>
        <v>(4669,911,'AMZN',656.53,'BUY','2024-05-07 19:40:00'),</v>
      </c>
    </row>
    <row r="989" spans="1:13" x14ac:dyDescent="0.2">
      <c r="A989">
        <v>1691</v>
      </c>
      <c r="B989">
        <v>773</v>
      </c>
      <c r="C989" t="s">
        <v>1069</v>
      </c>
      <c r="D989" t="s">
        <v>2049</v>
      </c>
      <c r="E989" t="s">
        <v>1062</v>
      </c>
      <c r="F989" s="8" t="s">
        <v>3048</v>
      </c>
      <c r="G989" t="str">
        <f t="shared" si="107"/>
        <v>(1691,</v>
      </c>
      <c r="H989" t="str">
        <f t="shared" si="108"/>
        <v>773,</v>
      </c>
      <c r="I989" t="str">
        <f t="shared" si="109"/>
        <v>'MSFT',</v>
      </c>
      <c r="J989" t="str">
        <f t="shared" si="110"/>
        <v>446.79,</v>
      </c>
      <c r="K989" t="str">
        <f t="shared" si="111"/>
        <v>'SELL',</v>
      </c>
      <c r="L989" t="str">
        <f t="shared" si="112"/>
        <v>'2024-02-22 10:10:00'),</v>
      </c>
      <c r="M989" t="str">
        <f t="shared" si="113"/>
        <v>(1691,773,'MSFT',446.79,'SELL','2024-02-22 10:10:00'),</v>
      </c>
    </row>
    <row r="990" spans="1:13" x14ac:dyDescent="0.2">
      <c r="A990">
        <v>7531</v>
      </c>
      <c r="B990">
        <v>505</v>
      </c>
      <c r="C990" t="s">
        <v>1063</v>
      </c>
      <c r="D990" t="s">
        <v>2050</v>
      </c>
      <c r="E990" t="s">
        <v>1062</v>
      </c>
      <c r="F990" s="8" t="s">
        <v>3049</v>
      </c>
      <c r="G990" t="str">
        <f t="shared" si="107"/>
        <v>(7531,</v>
      </c>
      <c r="H990" t="str">
        <f t="shared" si="108"/>
        <v>505,</v>
      </c>
      <c r="I990" t="str">
        <f t="shared" si="109"/>
        <v>'META',</v>
      </c>
      <c r="J990" t="str">
        <f t="shared" si="110"/>
        <v>926.23,</v>
      </c>
      <c r="K990" t="str">
        <f t="shared" si="111"/>
        <v>'SELL',</v>
      </c>
      <c r="L990" t="str">
        <f t="shared" si="112"/>
        <v>'2024-05-17 04:43:00'),</v>
      </c>
      <c r="M990" t="str">
        <f t="shared" si="113"/>
        <v>(7531,505,'META',926.23,'SELL','2024-05-17 04:43:00'),</v>
      </c>
    </row>
    <row r="991" spans="1:13" x14ac:dyDescent="0.2">
      <c r="A991">
        <v>5751</v>
      </c>
      <c r="B991">
        <v>682</v>
      </c>
      <c r="C991" t="s">
        <v>1063</v>
      </c>
      <c r="D991" t="s">
        <v>2051</v>
      </c>
      <c r="E991" t="s">
        <v>1068</v>
      </c>
      <c r="F991" s="8" t="s">
        <v>3050</v>
      </c>
      <c r="G991" t="str">
        <f t="shared" si="107"/>
        <v>(5751,</v>
      </c>
      <c r="H991" t="str">
        <f t="shared" si="108"/>
        <v>682,</v>
      </c>
      <c r="I991" t="str">
        <f t="shared" si="109"/>
        <v>'META',</v>
      </c>
      <c r="J991" t="str">
        <f t="shared" si="110"/>
        <v>606.37,</v>
      </c>
      <c r="K991" t="str">
        <f t="shared" si="111"/>
        <v>'BUY',</v>
      </c>
      <c r="L991" t="str">
        <f t="shared" si="112"/>
        <v>'2024-04-12 22:25:00'),</v>
      </c>
      <c r="M991" t="str">
        <f t="shared" si="113"/>
        <v>(5751,682,'META',606.37,'BUY','2024-04-12 22:25:00'),</v>
      </c>
    </row>
    <row r="992" spans="1:13" x14ac:dyDescent="0.2">
      <c r="A992">
        <v>1691</v>
      </c>
      <c r="B992">
        <v>65</v>
      </c>
      <c r="C992" t="s">
        <v>1060</v>
      </c>
      <c r="D992" t="s">
        <v>2052</v>
      </c>
      <c r="E992" t="s">
        <v>1062</v>
      </c>
      <c r="F992" s="8" t="s">
        <v>3051</v>
      </c>
      <c r="G992" t="str">
        <f t="shared" si="107"/>
        <v>(1691,</v>
      </c>
      <c r="H992" t="str">
        <f t="shared" si="108"/>
        <v>65,</v>
      </c>
      <c r="I992" t="str">
        <f t="shared" si="109"/>
        <v>'TSLA',</v>
      </c>
      <c r="J992" t="str">
        <f t="shared" si="110"/>
        <v>670.62,</v>
      </c>
      <c r="K992" t="str">
        <f t="shared" si="111"/>
        <v>'SELL',</v>
      </c>
      <c r="L992" t="str">
        <f t="shared" si="112"/>
        <v>'2024-05-27 12:34:00'),</v>
      </c>
      <c r="M992" t="str">
        <f t="shared" si="113"/>
        <v>(1691,65,'TSLA',670.62,'SELL','2024-05-27 12:34:00'),</v>
      </c>
    </row>
    <row r="993" spans="1:13" x14ac:dyDescent="0.2">
      <c r="A993">
        <v>2941</v>
      </c>
      <c r="B993">
        <v>275</v>
      </c>
      <c r="C993" t="s">
        <v>1060</v>
      </c>
      <c r="D993" t="s">
        <v>2053</v>
      </c>
      <c r="E993" t="s">
        <v>1062</v>
      </c>
      <c r="F993" s="8" t="s">
        <v>3052</v>
      </c>
      <c r="G993" t="str">
        <f t="shared" si="107"/>
        <v>(2941,</v>
      </c>
      <c r="H993" t="str">
        <f t="shared" si="108"/>
        <v>275,</v>
      </c>
      <c r="I993" t="str">
        <f t="shared" si="109"/>
        <v>'TSLA',</v>
      </c>
      <c r="J993" t="str">
        <f t="shared" si="110"/>
        <v>997.35,</v>
      </c>
      <c r="K993" t="str">
        <f t="shared" si="111"/>
        <v>'SELL',</v>
      </c>
      <c r="L993" t="str">
        <f t="shared" si="112"/>
        <v>'2024-04-05 11:13:00'),</v>
      </c>
      <c r="M993" t="str">
        <f t="shared" si="113"/>
        <v>(2941,275,'TSLA',997.35,'SELL','2024-04-05 11:13:00'),</v>
      </c>
    </row>
    <row r="994" spans="1:13" x14ac:dyDescent="0.2">
      <c r="A994">
        <v>5258</v>
      </c>
      <c r="B994">
        <v>785</v>
      </c>
      <c r="C994" t="s">
        <v>1066</v>
      </c>
      <c r="D994" t="s">
        <v>2054</v>
      </c>
      <c r="E994" t="s">
        <v>1068</v>
      </c>
      <c r="F994" s="8" t="s">
        <v>3053</v>
      </c>
      <c r="G994" t="str">
        <f t="shared" si="107"/>
        <v>(5258,</v>
      </c>
      <c r="H994" t="str">
        <f t="shared" si="108"/>
        <v>785,</v>
      </c>
      <c r="I994" t="str">
        <f t="shared" si="109"/>
        <v>'AMZN',</v>
      </c>
      <c r="J994" t="str">
        <f t="shared" si="110"/>
        <v>578.38,</v>
      </c>
      <c r="K994" t="str">
        <f t="shared" si="111"/>
        <v>'BUY',</v>
      </c>
      <c r="L994" t="str">
        <f t="shared" si="112"/>
        <v>'2024-02-07 03:10:00'),</v>
      </c>
      <c r="M994" t="str">
        <f t="shared" si="113"/>
        <v>(5258,785,'AMZN',578.38,'BUY','2024-02-07 03:10:00'),</v>
      </c>
    </row>
    <row r="995" spans="1:13" x14ac:dyDescent="0.2">
      <c r="A995">
        <v>4669</v>
      </c>
      <c r="B995">
        <v>680</v>
      </c>
      <c r="C995" t="s">
        <v>1063</v>
      </c>
      <c r="D995" t="s">
        <v>2055</v>
      </c>
      <c r="E995" t="s">
        <v>1062</v>
      </c>
      <c r="F995" s="8" t="s">
        <v>3054</v>
      </c>
      <c r="G995" t="str">
        <f t="shared" si="107"/>
        <v>(4669,</v>
      </c>
      <c r="H995" t="str">
        <f t="shared" si="108"/>
        <v>680,</v>
      </c>
      <c r="I995" t="str">
        <f t="shared" si="109"/>
        <v>'META',</v>
      </c>
      <c r="J995" t="str">
        <f t="shared" si="110"/>
        <v>692.58,</v>
      </c>
      <c r="K995" t="str">
        <f t="shared" si="111"/>
        <v>'SELL',</v>
      </c>
      <c r="L995" t="str">
        <f t="shared" si="112"/>
        <v>'2024-01-31 07:28:00'),</v>
      </c>
      <c r="M995" t="str">
        <f t="shared" si="113"/>
        <v>(4669,680,'META',692.58,'SELL','2024-01-31 07:28:00'),</v>
      </c>
    </row>
    <row r="996" spans="1:13" x14ac:dyDescent="0.2">
      <c r="A996">
        <v>4168</v>
      </c>
      <c r="B996">
        <v>895</v>
      </c>
      <c r="C996" t="s">
        <v>1069</v>
      </c>
      <c r="D996" t="s">
        <v>2056</v>
      </c>
      <c r="E996" t="s">
        <v>1062</v>
      </c>
      <c r="F996" s="8" t="s">
        <v>3055</v>
      </c>
      <c r="G996" t="str">
        <f t="shared" si="107"/>
        <v>(4168,</v>
      </c>
      <c r="H996" t="str">
        <f t="shared" si="108"/>
        <v>895,</v>
      </c>
      <c r="I996" t="str">
        <f t="shared" si="109"/>
        <v>'MSFT',</v>
      </c>
      <c r="J996" t="str">
        <f t="shared" si="110"/>
        <v>348.33,</v>
      </c>
      <c r="K996" t="str">
        <f t="shared" si="111"/>
        <v>'SELL',</v>
      </c>
      <c r="L996" t="str">
        <f t="shared" si="112"/>
        <v>'2024-05-18 06:15:00'),</v>
      </c>
      <c r="M996" t="str">
        <f t="shared" si="113"/>
        <v>(4168,895,'MSFT',348.33,'SELL','2024-05-18 06:15:00'),</v>
      </c>
    </row>
    <row r="997" spans="1:13" x14ac:dyDescent="0.2">
      <c r="A997">
        <v>7531</v>
      </c>
      <c r="B997">
        <v>434</v>
      </c>
      <c r="C997" t="s">
        <v>1063</v>
      </c>
      <c r="D997" t="s">
        <v>2057</v>
      </c>
      <c r="E997" t="s">
        <v>1062</v>
      </c>
      <c r="F997" s="8" t="s">
        <v>3056</v>
      </c>
      <c r="G997" t="str">
        <f t="shared" si="107"/>
        <v>(7531,</v>
      </c>
      <c r="H997" t="str">
        <f t="shared" si="108"/>
        <v>434,</v>
      </c>
      <c r="I997" t="str">
        <f t="shared" si="109"/>
        <v>'META',</v>
      </c>
      <c r="J997" t="str">
        <f t="shared" si="110"/>
        <v>839.58,</v>
      </c>
      <c r="K997" t="str">
        <f t="shared" si="111"/>
        <v>'SELL',</v>
      </c>
      <c r="L997" t="str">
        <f t="shared" si="112"/>
        <v>'2024-05-09 08:13:00'),</v>
      </c>
      <c r="M997" t="str">
        <f t="shared" si="113"/>
        <v>(7531,434,'META',839.58,'SELL','2024-05-09 08:13:00'),</v>
      </c>
    </row>
    <row r="998" spans="1:13" x14ac:dyDescent="0.2">
      <c r="A998">
        <v>7922</v>
      </c>
      <c r="B998">
        <v>614</v>
      </c>
      <c r="C998" t="s">
        <v>1066</v>
      </c>
      <c r="D998" t="s">
        <v>2058</v>
      </c>
      <c r="E998" t="s">
        <v>1062</v>
      </c>
      <c r="F998" s="8" t="s">
        <v>3057</v>
      </c>
      <c r="G998" t="str">
        <f t="shared" si="107"/>
        <v>(7922,</v>
      </c>
      <c r="H998" t="str">
        <f t="shared" si="108"/>
        <v>614,</v>
      </c>
      <c r="I998" t="str">
        <f t="shared" si="109"/>
        <v>'AMZN',</v>
      </c>
      <c r="J998" t="str">
        <f t="shared" si="110"/>
        <v>907.59,</v>
      </c>
      <c r="K998" t="str">
        <f t="shared" si="111"/>
        <v>'SELL',</v>
      </c>
      <c r="L998" t="str">
        <f t="shared" si="112"/>
        <v>'2024-02-28 07:56:00'),</v>
      </c>
      <c r="M998" t="str">
        <f t="shared" si="113"/>
        <v>(7922,614,'AMZN',907.59,'SELL','2024-02-28 07:56:00'),</v>
      </c>
    </row>
    <row r="999" spans="1:13" x14ac:dyDescent="0.2">
      <c r="A999">
        <v>7531</v>
      </c>
      <c r="B999">
        <v>601</v>
      </c>
      <c r="C999" t="s">
        <v>1066</v>
      </c>
      <c r="D999" t="s">
        <v>2059</v>
      </c>
      <c r="E999" t="s">
        <v>1062</v>
      </c>
      <c r="F999" s="8" t="s">
        <v>3058</v>
      </c>
      <c r="G999" t="str">
        <f t="shared" si="107"/>
        <v>(7531,</v>
      </c>
      <c r="H999" t="str">
        <f t="shared" si="108"/>
        <v>601,</v>
      </c>
      <c r="I999" t="str">
        <f t="shared" si="109"/>
        <v>'AMZN',</v>
      </c>
      <c r="J999" t="str">
        <f t="shared" si="110"/>
        <v>109.53,</v>
      </c>
      <c r="K999" t="str">
        <f t="shared" si="111"/>
        <v>'SELL',</v>
      </c>
      <c r="L999" t="str">
        <f t="shared" si="112"/>
        <v>'2024-02-17 05:58:00'),</v>
      </c>
      <c r="M999" t="str">
        <f t="shared" si="113"/>
        <v>(7531,601,'AMZN',109.53,'SELL','2024-02-17 05:58:00'),</v>
      </c>
    </row>
    <row r="1000" spans="1:13" x14ac:dyDescent="0.2">
      <c r="A1000">
        <v>7938</v>
      </c>
      <c r="B1000">
        <v>175</v>
      </c>
      <c r="C1000" t="s">
        <v>1063</v>
      </c>
      <c r="D1000" t="s">
        <v>2060</v>
      </c>
      <c r="E1000" t="s">
        <v>1062</v>
      </c>
      <c r="F1000" s="8" t="s">
        <v>3059</v>
      </c>
      <c r="G1000" t="str">
        <f t="shared" si="107"/>
        <v>(7938,</v>
      </c>
      <c r="H1000" t="str">
        <f t="shared" si="108"/>
        <v>175,</v>
      </c>
      <c r="I1000" t="str">
        <f t="shared" si="109"/>
        <v>'META',</v>
      </c>
      <c r="J1000" t="str">
        <f t="shared" si="110"/>
        <v>435.44,</v>
      </c>
      <c r="K1000" t="str">
        <f t="shared" si="111"/>
        <v>'SELL',</v>
      </c>
      <c r="L1000" t="str">
        <f t="shared" si="112"/>
        <v>'2024-01-16 23:27:00'),</v>
      </c>
      <c r="M1000" t="str">
        <f t="shared" si="113"/>
        <v>(7938,175,'META',435.44,'SELL','2024-01-16 23:27:00'),</v>
      </c>
    </row>
    <row r="1001" spans="1:13" x14ac:dyDescent="0.2">
      <c r="A1001">
        <v>6298</v>
      </c>
      <c r="B1001">
        <v>946</v>
      </c>
      <c r="C1001" t="s">
        <v>1069</v>
      </c>
      <c r="D1001" t="s">
        <v>2061</v>
      </c>
      <c r="E1001" t="s">
        <v>1068</v>
      </c>
      <c r="F1001" s="8" t="s">
        <v>3060</v>
      </c>
      <c r="G1001" t="str">
        <f t="shared" si="107"/>
        <v>(6298,</v>
      </c>
      <c r="H1001" t="str">
        <f t="shared" si="108"/>
        <v>946,</v>
      </c>
      <c r="I1001" t="str">
        <f t="shared" si="109"/>
        <v>'MSFT',</v>
      </c>
      <c r="J1001" t="str">
        <f t="shared" si="110"/>
        <v>538.36,</v>
      </c>
      <c r="K1001" t="str">
        <f t="shared" si="111"/>
        <v>'BUY',</v>
      </c>
      <c r="L1001" t="str">
        <f t="shared" si="112"/>
        <v>'2024-05-27 02:15:00'),</v>
      </c>
      <c r="M1001" t="str">
        <f t="shared" si="113"/>
        <v>(6298,946,'MSFT',538.36,'BUY','2024-05-27 02:15:00'),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91BC-959F-1A42-901C-300FF02429E4}">
  <dimension ref="A1:A43"/>
  <sheetViews>
    <sheetView workbookViewId="0">
      <selection sqref="A1:A43"/>
    </sheetView>
  </sheetViews>
  <sheetFormatPr baseColWidth="10" defaultRowHeight="16" x14ac:dyDescent="0.2"/>
  <sheetData>
    <row r="1" spans="1:1" ht="30" x14ac:dyDescent="0.3">
      <c r="A1" s="1" t="s">
        <v>0</v>
      </c>
    </row>
    <row r="3" spans="1:1" ht="23" x14ac:dyDescent="0.25">
      <c r="A3" s="2" t="s">
        <v>1</v>
      </c>
    </row>
    <row r="5" spans="1:1" ht="18" x14ac:dyDescent="0.2">
      <c r="A5" s="3" t="s">
        <v>2</v>
      </c>
    </row>
    <row r="7" spans="1:1" ht="23" x14ac:dyDescent="0.25">
      <c r="A7" s="2" t="s">
        <v>3</v>
      </c>
    </row>
    <row r="9" spans="1:1" ht="18" x14ac:dyDescent="0.2">
      <c r="A9" s="3" t="s">
        <v>4</v>
      </c>
    </row>
    <row r="11" spans="1:1" ht="18" x14ac:dyDescent="0.2">
      <c r="A11" s="4" t="s">
        <v>5</v>
      </c>
    </row>
    <row r="13" spans="1:1" ht="18" x14ac:dyDescent="0.2">
      <c r="A13" s="3" t="s">
        <v>6</v>
      </c>
    </row>
    <row r="15" spans="1:1" ht="18" x14ac:dyDescent="0.2">
      <c r="A15" s="5" t="s">
        <v>7</v>
      </c>
    </row>
    <row r="17" spans="1:1" ht="18" x14ac:dyDescent="0.2">
      <c r="A17" s="5" t="s">
        <v>8</v>
      </c>
    </row>
    <row r="19" spans="1:1" ht="18" x14ac:dyDescent="0.2">
      <c r="A19" s="5" t="s">
        <v>9</v>
      </c>
    </row>
    <row r="21" spans="1:1" ht="18" x14ac:dyDescent="0.2">
      <c r="A21" s="5" t="s">
        <v>10</v>
      </c>
    </row>
    <row r="23" spans="1:1" ht="18" x14ac:dyDescent="0.2">
      <c r="A23" s="4" t="s">
        <v>11</v>
      </c>
    </row>
    <row r="25" spans="1:1" ht="18" x14ac:dyDescent="0.2">
      <c r="A25" s="5" t="s">
        <v>12</v>
      </c>
    </row>
    <row r="27" spans="1:1" ht="18" x14ac:dyDescent="0.2">
      <c r="A27" s="5" t="s">
        <v>13</v>
      </c>
    </row>
    <row r="29" spans="1:1" ht="18" x14ac:dyDescent="0.2">
      <c r="A29" s="5" t="s">
        <v>14</v>
      </c>
    </row>
    <row r="31" spans="1:1" ht="18" x14ac:dyDescent="0.2">
      <c r="A31" s="5" t="s">
        <v>15</v>
      </c>
    </row>
    <row r="33" spans="1:1" ht="23" x14ac:dyDescent="0.25">
      <c r="A33" s="2" t="s">
        <v>16</v>
      </c>
    </row>
    <row r="35" spans="1:1" x14ac:dyDescent="0.2">
      <c r="A35" s="6" t="s">
        <v>17</v>
      </c>
    </row>
    <row r="37" spans="1:1" ht="23" x14ac:dyDescent="0.25">
      <c r="A37" s="2" t="s">
        <v>18</v>
      </c>
    </row>
    <row r="39" spans="1:1" ht="18" x14ac:dyDescent="0.2">
      <c r="A39" s="3" t="s">
        <v>19</v>
      </c>
    </row>
    <row r="41" spans="1:1" ht="18" x14ac:dyDescent="0.2">
      <c r="A41" s="3" t="s">
        <v>20</v>
      </c>
    </row>
    <row r="43" spans="1:1" ht="18" x14ac:dyDescent="0.2">
      <c r="A43" s="3" t="s">
        <v>21</v>
      </c>
    </row>
  </sheetData>
  <hyperlinks>
    <hyperlink ref="A35" r:id="rId1" display="https://raw.githubusercontent.com/Profession-AI/progetti-sql/refs/heads/main/Estrai indicatori chiave dal database di una piattaforma di trading con SQL/1000_Stock_Transactions.csv" xr:uid="{961F59CC-63BB-FA40-8C94-47A448E0256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339CD-AB93-6047-B47E-E1B909A06E81}">
  <dimension ref="A1:A7"/>
  <sheetViews>
    <sheetView workbookViewId="0">
      <selection sqref="A1:A7"/>
    </sheetView>
  </sheetViews>
  <sheetFormatPr baseColWidth="10" defaultRowHeight="16" x14ac:dyDescent="0.2"/>
  <sheetData>
    <row r="1" spans="1:1" ht="18" x14ac:dyDescent="0.2">
      <c r="A1" s="3" t="s">
        <v>22</v>
      </c>
    </row>
    <row r="3" spans="1:1" ht="18" x14ac:dyDescent="0.2">
      <c r="A3" s="3" t="s">
        <v>23</v>
      </c>
    </row>
    <row r="5" spans="1:1" ht="18" x14ac:dyDescent="0.2">
      <c r="A5" s="5" t="s">
        <v>24</v>
      </c>
    </row>
    <row r="7" spans="1:1" ht="18" x14ac:dyDescent="0.2">
      <c r="A7" s="3"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4F44A-34FD-134B-9E72-66AC3815C6A1}">
  <dimension ref="A1:A48"/>
  <sheetViews>
    <sheetView workbookViewId="0">
      <selection sqref="A1:A48"/>
    </sheetView>
  </sheetViews>
  <sheetFormatPr baseColWidth="10" defaultRowHeight="16" x14ac:dyDescent="0.2"/>
  <sheetData>
    <row r="1" spans="1:1" ht="30" x14ac:dyDescent="0.3">
      <c r="A1" s="1" t="s">
        <v>26</v>
      </c>
    </row>
    <row r="3" spans="1:1" ht="18" x14ac:dyDescent="0.2">
      <c r="A3" s="3" t="s">
        <v>27</v>
      </c>
    </row>
    <row r="7" spans="1:1" ht="23" x14ac:dyDescent="0.25">
      <c r="A7" s="2" t="s">
        <v>28</v>
      </c>
    </row>
    <row r="9" spans="1:1" ht="18" x14ac:dyDescent="0.2">
      <c r="A9" s="3" t="s">
        <v>29</v>
      </c>
    </row>
    <row r="10" spans="1:1" ht="18" x14ac:dyDescent="0.2">
      <c r="A10" s="3" t="s">
        <v>30</v>
      </c>
    </row>
    <row r="11" spans="1:1" ht="18" x14ac:dyDescent="0.2">
      <c r="A11" s="7" t="s">
        <v>31</v>
      </c>
    </row>
    <row r="12" spans="1:1" ht="18" x14ac:dyDescent="0.2">
      <c r="A12" s="7" t="s">
        <v>32</v>
      </c>
    </row>
    <row r="13" spans="1:1" ht="18" x14ac:dyDescent="0.2">
      <c r="A13" s="7" t="s">
        <v>33</v>
      </c>
    </row>
    <row r="14" spans="1:1" ht="18" x14ac:dyDescent="0.2">
      <c r="A14" s="7" t="s">
        <v>34</v>
      </c>
    </row>
    <row r="15" spans="1:1" ht="18" x14ac:dyDescent="0.2">
      <c r="A15" s="7" t="s">
        <v>35</v>
      </c>
    </row>
    <row r="16" spans="1:1" ht="18" x14ac:dyDescent="0.2">
      <c r="A16" s="7" t="s">
        <v>36</v>
      </c>
    </row>
    <row r="19" spans="1:1" ht="23" x14ac:dyDescent="0.25">
      <c r="A19" s="2" t="s">
        <v>37</v>
      </c>
    </row>
    <row r="21" spans="1:1" ht="18" x14ac:dyDescent="0.2">
      <c r="A21" s="3" t="s">
        <v>38</v>
      </c>
    </row>
    <row r="22" spans="1:1" ht="18" x14ac:dyDescent="0.2">
      <c r="A22" s="3" t="s">
        <v>39</v>
      </c>
    </row>
    <row r="23" spans="1:1" ht="18" x14ac:dyDescent="0.2">
      <c r="A23" s="3" t="s">
        <v>40</v>
      </c>
    </row>
    <row r="26" spans="1:1" ht="23" x14ac:dyDescent="0.25">
      <c r="A26" s="2" t="s">
        <v>41</v>
      </c>
    </row>
    <row r="28" spans="1:1" ht="18" x14ac:dyDescent="0.2">
      <c r="A28" s="4" t="s">
        <v>42</v>
      </c>
    </row>
    <row r="30" spans="1:1" ht="18" x14ac:dyDescent="0.2">
      <c r="A30" s="3" t="s">
        <v>43</v>
      </c>
    </row>
    <row r="32" spans="1:1" ht="18" x14ac:dyDescent="0.2">
      <c r="A32" s="4" t="s">
        <v>44</v>
      </c>
    </row>
    <row r="34" spans="1:1" ht="18" x14ac:dyDescent="0.2">
      <c r="A34" s="3" t="s">
        <v>45</v>
      </c>
    </row>
    <row r="36" spans="1:1" ht="18" x14ac:dyDescent="0.2">
      <c r="A36" s="4" t="s">
        <v>46</v>
      </c>
    </row>
    <row r="38" spans="1:1" ht="18" x14ac:dyDescent="0.2">
      <c r="A38" s="3" t="s">
        <v>47</v>
      </c>
    </row>
    <row r="40" spans="1:1" ht="18" x14ac:dyDescent="0.2">
      <c r="A40" s="4" t="s">
        <v>48</v>
      </c>
    </row>
    <row r="42" spans="1:1" ht="18" x14ac:dyDescent="0.2">
      <c r="A42" s="3" t="s">
        <v>49</v>
      </c>
    </row>
    <row r="43" spans="1:1" ht="18" x14ac:dyDescent="0.2">
      <c r="A43" s="3" t="s">
        <v>50</v>
      </c>
    </row>
    <row r="46" spans="1:1" ht="23" x14ac:dyDescent="0.25">
      <c r="A46" s="2" t="s">
        <v>51</v>
      </c>
    </row>
    <row r="48" spans="1:1" ht="18" x14ac:dyDescent="0.2">
      <c r="A48" s="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Dataset</vt:lpstr>
      <vt:lpstr>Foglio5</vt:lpstr>
      <vt:lpstr>Specifiche del progetto</vt:lpstr>
      <vt:lpstr>Approfondimenti</vt:lpstr>
      <vt:lpstr>Consigli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GIUSEPPE SCOGNAMIGLIO</dc:creator>
  <cp:lastModifiedBy>GIUSEPPE SCOGNAMIGLIO</cp:lastModifiedBy>
  <dcterms:created xsi:type="dcterms:W3CDTF">2026-08-23T20:58:57Z</dcterms:created>
  <dcterms:modified xsi:type="dcterms:W3CDTF">2026-08-24T02:27:42Z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2026-08-24T02:27:30Z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3268823f-bf68-4e60-87c1-94416d40fbc1</vt:lpwstr>
  </property>
  <property fmtid="{D5CDD505-2E9C-101B-9397-08002B2CF9AE}" pid="8" name="MSIP_Label_2ad0b24d-6422-44b0-b3de-abb3a9e8c81a_ContentBits">
    <vt:lpwstr>0</vt:lpwstr>
  </property>
  <property fmtid="{D5CDD505-2E9C-101B-9397-08002B2CF9AE}" pid="9" name="MSIP_Label_2ad0b24d-6422-44b0-b3de-abb3a9e8c81a_Tag">
    <vt:lpwstr>50, 3, 0, 1</vt:lpwstr>
  </property>
</Properties>
</file>